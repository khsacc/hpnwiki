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kom\HighPressNeutron\2014\pulse_profile\"/>
    </mc:Choice>
  </mc:AlternateContent>
  <bookViews>
    <workbookView xWindow="0" yWindow="0" windowWidth="21096" windowHeight="9924"/>
  </bookViews>
  <sheets>
    <sheet name="Sheet1" sheetId="1" r:id="rId1"/>
    <sheet name="Sheet2" sheetId="2" r:id="rId2"/>
  </sheets>
  <functionGroups builtInGroupCount="18"/>
  <definedNames>
    <definedName name="autox" localSheetId="0">OFFSET(Sheet1!$A$1,1,0,COUNTA(Sheet1!$A:$A)-1,1)</definedName>
    <definedName name="autoy1" localSheetId="0">OFFSET(Sheet1!$B$1,1,0,COUNTA(Sheet1!$B:$B)-1,1)</definedName>
    <definedName name="autoy2" localSheetId="0">OFFSET(Sheet1!$C$1,1,0,COUNTA(Sheet1!$C:$C)-1,1)</definedName>
    <definedName name="autoy3" localSheetId="0">OFFSET(Sheet1!$D$1,1,0,COUNTA(Sheet1!$D:$D)-1,1)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1" l="1"/>
  <c r="AL1" i="2"/>
  <c r="F1" i="2"/>
  <c r="H1" i="2"/>
  <c r="J1" i="2"/>
  <c r="L1" i="2"/>
  <c r="N1" i="2"/>
  <c r="P1" i="2"/>
  <c r="R1" i="2"/>
  <c r="T1" i="2"/>
  <c r="V1" i="2"/>
  <c r="X1" i="2"/>
  <c r="Z1" i="2"/>
  <c r="AB1" i="2"/>
  <c r="AD1" i="2"/>
  <c r="AF1" i="2"/>
  <c r="AH1" i="2"/>
  <c r="AJ1" i="2"/>
  <c r="AN1" i="2"/>
  <c r="AP1" i="2"/>
  <c r="AR1" i="2"/>
  <c r="AT1" i="2"/>
  <c r="AV1" i="2"/>
  <c r="AX1" i="2"/>
  <c r="AZ1" i="2"/>
  <c r="BB1" i="2"/>
  <c r="BD1" i="2"/>
  <c r="BF1" i="2"/>
  <c r="BH1" i="2"/>
  <c r="BJ1" i="2"/>
  <c r="BL1" i="2"/>
  <c r="BN1" i="2"/>
  <c r="BP1" i="2"/>
  <c r="BR1" i="2"/>
  <c r="BT1" i="2"/>
  <c r="BV1" i="2"/>
  <c r="BX1" i="2"/>
  <c r="BZ1" i="2"/>
  <c r="CB1" i="2"/>
  <c r="CD1" i="2"/>
  <c r="CF1" i="2"/>
  <c r="CH1" i="2"/>
  <c r="CJ1" i="2"/>
  <c r="CL1" i="2"/>
  <c r="CN1" i="2"/>
  <c r="CP1" i="2"/>
  <c r="CR1" i="2"/>
  <c r="CT1" i="2"/>
  <c r="CV1" i="2"/>
  <c r="CX1" i="2"/>
  <c r="CZ1" i="2"/>
  <c r="DB1" i="2"/>
  <c r="DD1" i="2"/>
  <c r="DF1" i="2"/>
  <c r="DH1" i="2"/>
  <c r="DJ1" i="2"/>
  <c r="DL1" i="2"/>
  <c r="DN1" i="2"/>
  <c r="DP1" i="2"/>
  <c r="DR1" i="2"/>
  <c r="DT1" i="2"/>
  <c r="DV1" i="2"/>
  <c r="DX1" i="2"/>
  <c r="DZ1" i="2"/>
  <c r="EB1" i="2"/>
  <c r="ED1" i="2"/>
  <c r="EF1" i="2"/>
  <c r="EH1" i="2"/>
  <c r="EJ1" i="2"/>
  <c r="EL1" i="2"/>
  <c r="EN1" i="2"/>
  <c r="EP1" i="2"/>
  <c r="D1" i="2"/>
  <c r="J3" i="1" l="1"/>
  <c r="N4" i="1" l="1"/>
  <c r="L3" i="1" s="1"/>
  <c r="L4" i="1" s="1"/>
</calcChain>
</file>

<file path=xl/sharedStrings.xml><?xml version="1.0" encoding="utf-8"?>
<sst xmlns="http://schemas.openxmlformats.org/spreadsheetml/2006/main" count="105" uniqueCount="30">
  <si>
    <t>Phi(t)_low</t>
    <phoneticPr fontId="1"/>
  </si>
  <si>
    <t>Phi(t)_high</t>
    <phoneticPr fontId="1"/>
  </si>
  <si>
    <t>tmin</t>
    <phoneticPr fontId="1"/>
  </si>
  <si>
    <t>tmax</t>
    <phoneticPr fontId="1"/>
  </si>
  <si>
    <t>tstep</t>
    <phoneticPr fontId="1"/>
  </si>
  <si>
    <t>↓</t>
    <phoneticPr fontId="1"/>
  </si>
  <si>
    <t>alpha(lam)</t>
    <phoneticPr fontId="1"/>
  </si>
  <si>
    <t>beta(lam)</t>
    <phoneticPr fontId="1"/>
  </si>
  <si>
    <t>R1 (lam)</t>
    <phoneticPr fontId="1"/>
  </si>
  <si>
    <t>R2 (lam)</t>
    <phoneticPr fontId="1"/>
  </si>
  <si>
    <t>↓</t>
    <phoneticPr fontId="1"/>
  </si>
  <si>
    <t>h</t>
    <phoneticPr fontId="1"/>
  </si>
  <si>
    <t>m</t>
    <phoneticPr fontId="1"/>
  </si>
  <si>
    <t>m2 kg s-1</t>
    <phoneticPr fontId="1"/>
  </si>
  <si>
    <t>kg</t>
    <phoneticPr fontId="1"/>
  </si>
  <si>
    <t>eV to J</t>
    <phoneticPr fontId="1"/>
  </si>
  <si>
    <t>J = kg m2 s-2</t>
    <phoneticPr fontId="1"/>
  </si>
  <si>
    <t>J to eV</t>
    <phoneticPr fontId="1"/>
  </si>
  <si>
    <t>eV</t>
    <phoneticPr fontId="1"/>
  </si>
  <si>
    <t>input</t>
    <phoneticPr fontId="1"/>
  </si>
  <si>
    <t>output</t>
    <phoneticPr fontId="1"/>
  </si>
  <si>
    <t>lambda / Å</t>
    <phoneticPr fontId="1"/>
  </si>
  <si>
    <t>Energy / meV</t>
    <phoneticPr fontId="1"/>
  </si>
  <si>
    <t>Phi(t)</t>
    <phoneticPr fontId="1"/>
  </si>
  <si>
    <t>Int (lam)</t>
    <phoneticPr fontId="1"/>
  </si>
  <si>
    <t>n/cm2/s/sr/eV/MW</t>
    <phoneticPr fontId="1"/>
  </si>
  <si>
    <t>t / us</t>
    <phoneticPr fontId="1"/>
  </si>
  <si>
    <t xml:space="preserve">         ERR</t>
  </si>
  <si>
    <t>lambda(A)</t>
    <phoneticPr fontId="1"/>
  </si>
  <si>
    <t>verocity / m s-1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</si>
</sst>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000000E+00"/>
    <numFmt numFmtId="177" formatCode="0.00000_);[Red]\(0.00000\)"/>
    <numFmt numFmtId="178" formatCode="0.0000E+00"/>
  </numFmts>
  <fonts count="5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rgb="FF000000"/>
      <name val="Calibri"/>
      <family val="2"/>
    </font>
    <font>
      <b/>
      <sz val="11"/>
      <color rgb="FF000000"/>
      <name val="calibli"/>
    </font>
    <font>
      <sz val="9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177" fontId="0" fillId="3" borderId="0" xfId="0" applyNumberFormat="1" applyFill="1">
      <alignment vertical="center"/>
    </xf>
    <xf numFmtId="178" fontId="4" fillId="0" borderId="0" xfId="0" applyNumberFormat="1" applyFont="1" applyAlignment="1"/>
    <xf numFmtId="11" fontId="0" fillId="0" borderId="0" xfId="0" applyNumberFormat="1">
      <alignment vertical="center"/>
    </xf>
    <xf numFmtId="0" fontId="0" fillId="0" borderId="0" xfId="0" applyNumberFormat="1">
      <alignment vertical="center"/>
    </xf>
    <xf numFmtId="2" fontId="0" fillId="3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Phi(t)_low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Sheet1!autox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Sheet1!autoy1</c:f>
              <c:numCache>
                <c:formatCode>General</c:formatCode>
                <c:ptCount val="101"/>
                <c:pt idx="0">
                  <c:v>0</c:v>
                </c:pt>
                <c:pt idx="1">
                  <c:v>4.5920044236967038E-3</c:v>
                </c:pt>
                <c:pt idx="2">
                  <c:v>1.388239379219126E-2</c:v>
                </c:pt>
                <c:pt idx="3">
                  <c:v>2.36883589109874E-2</c:v>
                </c:pt>
                <c:pt idx="4">
                  <c:v>3.2050882985075413E-2</c:v>
                </c:pt>
                <c:pt idx="5">
                  <c:v>3.8253930938999599E-2</c:v>
                </c:pt>
                <c:pt idx="6">
                  <c:v>4.2236400788709744E-2</c:v>
                </c:pt>
                <c:pt idx="7">
                  <c:v>4.4248534026913977E-2</c:v>
                </c:pt>
                <c:pt idx="8">
                  <c:v>4.4658309552547834E-2</c:v>
                </c:pt>
                <c:pt idx="9">
                  <c:v>4.384818464567506E-2</c:v>
                </c:pt>
                <c:pt idx="10">
                  <c:v>4.2164952510251895E-2</c:v>
                </c:pt>
                <c:pt idx="11">
                  <c:v>3.9899789399888204E-2</c:v>
                </c:pt>
                <c:pt idx="12">
                  <c:v>3.7284615527205384E-2</c:v>
                </c:pt>
                <c:pt idx="13">
                  <c:v>3.4496561261533637E-2</c:v>
                </c:pt>
                <c:pt idx="14">
                  <c:v>3.1665832814205631E-2</c:v>
                </c:pt>
                <c:pt idx="15">
                  <c:v>2.888440125545344E-2</c:v>
                </c:pt>
                <c:pt idx="16">
                  <c:v>2.6214206154447212E-2</c:v>
                </c:pt>
                <c:pt idx="17">
                  <c:v>2.3694297818191611E-2</c:v>
                </c:pt>
                <c:pt idx="18">
                  <c:v>2.1346748207933277E-2</c:v>
                </c:pt>
                <c:pt idx="19">
                  <c:v>1.9181371224494294E-2</c:v>
                </c:pt>
                <c:pt idx="20">
                  <c:v>1.7199389760087828E-2</c:v>
                </c:pt>
                <c:pt idx="21">
                  <c:v>1.5396219749190219E-2</c:v>
                </c:pt>
                <c:pt idx="22">
                  <c:v>1.3763540531321955E-2</c:v>
                </c:pt>
                <c:pt idx="23">
                  <c:v>1.2290803843468439E-2</c:v>
                </c:pt>
                <c:pt idx="24">
                  <c:v>1.0966310709951733E-2</c:v>
                </c:pt>
                <c:pt idx="25">
                  <c:v>9.7779617795077465E-3</c:v>
                </c:pt>
                <c:pt idx="26">
                  <c:v>8.7137649204027407E-3</c:v>
                </c:pt>
                <c:pt idx="27">
                  <c:v>7.7621652037118283E-3</c:v>
                </c:pt>
                <c:pt idx="28">
                  <c:v>6.9122470054082986E-3</c:v>
                </c:pt>
                <c:pt idx="29">
                  <c:v>6.1538456304208325E-3</c:v>
                </c:pt>
                <c:pt idx="30">
                  <c:v>5.4775962095958124E-3</c:v>
                </c:pt>
                <c:pt idx="31">
                  <c:v>4.8749401949012786E-3</c:v>
                </c:pt>
                <c:pt idx="32">
                  <c:v>4.3381041486985862E-3</c:v>
                </c:pt>
                <c:pt idx="33">
                  <c:v>3.8600613090076304E-3</c:v>
                </c:pt>
                <c:pt idx="34">
                  <c:v>3.4344832945284822E-3</c:v>
                </c:pt>
                <c:pt idx="35">
                  <c:v>3.0556870307606853E-3</c:v>
                </c:pt>
                <c:pt idx="36">
                  <c:v>2.7185803256814809E-3</c:v>
                </c:pt>
                <c:pt idx="37">
                  <c:v>2.4186083396262365E-3</c:v>
                </c:pt>
                <c:pt idx="38">
                  <c:v>2.1517023562348538E-3</c:v>
                </c:pt>
                <c:pt idx="39">
                  <c:v>1.9142316764542125E-3</c:v>
                </c:pt>
                <c:pt idx="40">
                  <c:v>1.7029590558702745E-3</c:v>
                </c:pt>
                <c:pt idx="41">
                  <c:v>1.5149998353452944E-3</c:v>
                </c:pt>
                <c:pt idx="42">
                  <c:v>1.3477847380084648E-3</c:v>
                </c:pt>
                <c:pt idx="43">
                  <c:v>1.1990261943419839E-3</c:v>
                </c:pt>
                <c:pt idx="44">
                  <c:v>1.0666879913401766E-3</c:v>
                </c:pt>
                <c:pt idx="45">
                  <c:v>9.4895800708430294E-4</c:v>
                </c:pt>
                <c:pt idx="46">
                  <c:v>8.4422377831101206E-4</c:v>
                </c:pt>
                <c:pt idx="47">
                  <c:v>7.510506484214479E-4</c:v>
                </c:pt>
                <c:pt idx="48">
                  <c:v>6.6816225182766097E-4</c:v>
                </c:pt>
                <c:pt idx="49">
                  <c:v>5.9442310407661935E-4</c:v>
                </c:pt>
                <c:pt idx="50">
                  <c:v>5.2882308345902516E-4</c:v>
                </c:pt>
                <c:pt idx="51">
                  <c:v>4.7046360721784091E-4</c:v>
                </c:pt>
                <c:pt idx="52">
                  <c:v>4.1854532298997004E-4</c:v>
                </c:pt>
                <c:pt idx="53">
                  <c:v>3.7235715309726715E-4</c:v>
                </c:pt>
                <c:pt idx="54">
                  <c:v>3.3126654536622243E-4</c:v>
                </c:pt>
                <c:pt idx="55">
                  <c:v>2.9471079909322486E-4</c:v>
                </c:pt>
                <c:pt idx="56">
                  <c:v>2.6218934849626697E-4</c:v>
                </c:pt>
                <c:pt idx="57">
                  <c:v>2.3325689849268148E-4</c:v>
                </c:pt>
                <c:pt idx="58">
                  <c:v>2.075173189520479E-4</c:v>
                </c:pt>
                <c:pt idx="59">
                  <c:v>1.8461821375807488E-4</c:v>
                </c:pt>
                <c:pt idx="60">
                  <c:v>1.6424609015232351E-4</c:v>
                </c:pt>
                <c:pt idx="61">
                  <c:v>1.4612206201177781E-4</c:v>
                </c:pt>
                <c:pt idx="62">
                  <c:v>1.2999802801800253E-4</c:v>
                </c:pt>
                <c:pt idx="63">
                  <c:v>1.1565327219183206E-4</c:v>
                </c:pt>
                <c:pt idx="64">
                  <c:v>1.0289144007344157E-4</c:v>
                </c:pt>
                <c:pt idx="65">
                  <c:v>9.1537848996797345E-5</c:v>
                </c:pt>
                <c:pt idx="66">
                  <c:v>8.1437095507283275E-5</c:v>
                </c:pt>
                <c:pt idx="67">
                  <c:v>7.2450927062959276E-5</c:v>
                </c:pt>
                <c:pt idx="68">
                  <c:v>6.4456348798711113E-5</c:v>
                </c:pt>
                <c:pt idx="69">
                  <c:v>5.7343939368136983E-5</c:v>
                </c:pt>
                <c:pt idx="70">
                  <c:v>5.1016352754829423E-5</c:v>
                </c:pt>
                <c:pt idx="71">
                  <c:v>4.5386985502451647E-5</c:v>
                </c:pt>
                <c:pt idx="72">
                  <c:v>4.0378791087063321E-5</c:v>
                </c:pt>
                <c:pt idx="73">
                  <c:v>3.5923225177019082E-5</c:v>
                </c:pt>
                <c:pt idx="74">
                  <c:v>3.1959307323487022E-5</c:v>
                </c:pt>
                <c:pt idx="75">
                  <c:v>2.8432786223121795E-5</c:v>
                </c:pt>
                <c:pt idx="76">
                  <c:v>2.5295397115828896E-5</c:v>
                </c:pt>
                <c:pt idx="77">
                  <c:v>2.250420114455569E-5</c:v>
                </c:pt>
                <c:pt idx="78">
                  <c:v>2.0020997628120415E-5</c:v>
                </c:pt>
                <c:pt idx="79">
                  <c:v>1.781180119777888E-5</c:v>
                </c:pt>
                <c:pt idx="80">
                  <c:v>1.5846376637333633E-5</c:v>
                </c:pt>
                <c:pt idx="81">
                  <c:v>1.4097825057373202E-5</c:v>
                </c:pt>
                <c:pt idx="82">
                  <c:v>1.2542215737587016E-5</c:v>
                </c:pt>
                <c:pt idx="83">
                  <c:v>1.1158258596722534E-5</c:v>
                </c:pt>
                <c:pt idx="84">
                  <c:v>9.9270128062394554E-6</c:v>
                </c:pt>
                <c:pt idx="85">
                  <c:v>8.8316275587240256E-6</c:v>
                </c:pt>
                <c:pt idx="86">
                  <c:v>7.8571114424574041E-6</c:v>
                </c:pt>
                <c:pt idx="87">
                  <c:v>6.9901272652312429E-6</c:v>
                </c:pt>
                <c:pt idx="88">
                  <c:v>6.2188095189479642E-6</c:v>
                </c:pt>
                <c:pt idx="89">
                  <c:v>5.5326019865149566E-6</c:v>
                </c:pt>
                <c:pt idx="90">
                  <c:v>4.9221132682908077E-6</c:v>
                </c:pt>
                <c:pt idx="91">
                  <c:v>4.3789882506492231E-6</c:v>
                </c:pt>
                <c:pt idx="92">
                  <c:v>3.895793757455504E-6</c:v>
                </c:pt>
                <c:pt idx="93">
                  <c:v>3.4659168193912113E-6</c:v>
                </c:pt>
                <c:pt idx="94">
                  <c:v>3.0834741687750064E-6</c:v>
                </c:pt>
                <c:pt idx="95">
                  <c:v>2.7432317211783098E-6</c:v>
                </c:pt>
                <c:pt idx="96">
                  <c:v>2.440532941827019E-6</c:v>
                </c:pt>
                <c:pt idx="97">
                  <c:v>2.1712351163874265E-6</c:v>
                </c:pt>
                <c:pt idx="98">
                  <c:v>1.9316526539212171E-6</c:v>
                </c:pt>
                <c:pt idx="99">
                  <c:v>1.7185066460418961E-6</c:v>
                </c:pt>
                <c:pt idx="100">
                  <c:v>1.528879991931044E-6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Phi(t)_high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Sheet1!autox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Sheet1!autoy2</c:f>
              <c:numCache>
                <c:formatCode>General</c:formatCode>
                <c:ptCount val="101"/>
                <c:pt idx="0">
                  <c:v>0</c:v>
                </c:pt>
                <c:pt idx="1">
                  <c:v>5.8936992003101428E-5</c:v>
                </c:pt>
                <c:pt idx="2">
                  <c:v>1.3809948691367294E-3</c:v>
                </c:pt>
                <c:pt idx="3">
                  <c:v>7.6874702762842586E-3</c:v>
                </c:pt>
                <c:pt idx="4">
                  <c:v>2.3774649502069447E-2</c:v>
                </c:pt>
                <c:pt idx="5">
                  <c:v>5.3311965511484177E-2</c:v>
                </c:pt>
                <c:pt idx="6">
                  <c:v>9.7597168277413118E-2</c:v>
                </c:pt>
                <c:pt idx="7">
                  <c:v>0.15539825341169361</c:v>
                </c:pt>
                <c:pt idx="8">
                  <c:v>0.22349765749204309</c:v>
                </c:pt>
                <c:pt idx="9">
                  <c:v>0.29752181657221927</c:v>
                </c:pt>
                <c:pt idx="10">
                  <c:v>0.37276064598907449</c:v>
                </c:pt>
                <c:pt idx="11">
                  <c:v>0.44481828793307937</c:v>
                </c:pt>
                <c:pt idx="12">
                  <c:v>0.51004096042428904</c:v>
                </c:pt>
                <c:pt idx="13">
                  <c:v>0.56573226519568609</c:v>
                </c:pt>
                <c:pt idx="14">
                  <c:v>0.61019807019377004</c:v>
                </c:pt>
                <c:pt idx="15">
                  <c:v>0.64267265290982079</c:v>
                </c:pt>
                <c:pt idx="16">
                  <c:v>0.66317453749671795</c:v>
                </c:pt>
                <c:pt idx="17">
                  <c:v>0.67233120436244764</c:v>
                </c:pt>
                <c:pt idx="18">
                  <c:v>0.67120094533047103</c:v>
                </c:pt>
                <c:pt idx="19">
                  <c:v>0.66111000173228773</c:v>
                </c:pt>
                <c:pt idx="20">
                  <c:v>0.64351485608111636</c:v>
                </c:pt>
                <c:pt idx="21">
                  <c:v>0.61989343556770315</c:v>
                </c:pt>
                <c:pt idx="22">
                  <c:v>0.59166486990077305</c:v>
                </c:pt>
                <c:pt idx="23">
                  <c:v>0.5601349716809948</c:v>
                </c:pt>
                <c:pt idx="24">
                  <c:v>0.52646336926604476</c:v>
                </c:pt>
                <c:pt idx="25">
                  <c:v>0.49164784402241773</c:v>
                </c:pt>
                <c:pt idx="26">
                  <c:v>0.4565215945355936</c:v>
                </c:pt>
                <c:pt idx="27">
                  <c:v>0.42175963174427755</c:v>
                </c:pt>
                <c:pt idx="28">
                  <c:v>0.387891131385523</c:v>
                </c:pt>
                <c:pt idx="29">
                  <c:v>0.35531522093678408</c:v>
                </c:pt>
                <c:pt idx="30">
                  <c:v>0.32431828891294751</c:v>
                </c:pt>
                <c:pt idx="31">
                  <c:v>0.29509143848689312</c:v>
                </c:pt>
                <c:pt idx="32">
                  <c:v>0.26774715043083852</c:v>
                </c:pt>
                <c:pt idx="33">
                  <c:v>0.24233457176918796</c:v>
                </c:pt>
                <c:pt idx="34">
                  <c:v>0.21885311384167175</c:v>
                </c:pt>
                <c:pt idx="35">
                  <c:v>0.1972642382551503</c:v>
                </c:pt>
                <c:pt idx="36">
                  <c:v>0.17750144431772583</c:v>
                </c:pt>
                <c:pt idx="37">
                  <c:v>0.15947855951550183</c:v>
                </c:pt>
                <c:pt idx="38">
                  <c:v>0.14309648666443348</c:v>
                </c:pt>
                <c:pt idx="39">
                  <c:v>0.12824858712799556</c:v>
                </c:pt>
                <c:pt idx="40">
                  <c:v>0.11482488675196229</c:v>
                </c:pt>
                <c:pt idx="41">
                  <c:v>0.10271528607916668</c:v>
                </c:pt>
                <c:pt idx="42">
                  <c:v>9.1811943646384134E-2</c:v>
                </c:pt>
                <c:pt idx="43">
                  <c:v>8.2010984171333595E-2</c:v>
                </c:pt>
                <c:pt idx="44">
                  <c:v>7.3213664647453131E-2</c:v>
                </c:pt>
                <c:pt idx="45">
                  <c:v>6.5327112430779363E-2</c:v>
                </c:pt>
                <c:pt idx="46">
                  <c:v>5.8264731384952723E-2</c:v>
                </c:pt>
                <c:pt idx="47">
                  <c:v>5.1946355666991108E-2</c:v>
                </c:pt>
                <c:pt idx="48">
                  <c:v>4.6298216095848388E-2</c:v>
                </c:pt>
                <c:pt idx="49">
                  <c:v>4.1252771341835665E-2</c:v>
                </c:pt>
                <c:pt idx="50">
                  <c:v>3.6748445362108945E-2</c:v>
                </c:pt>
                <c:pt idx="51">
                  <c:v>3.2729303455119908E-2</c:v>
                </c:pt>
                <c:pt idx="52">
                  <c:v>2.9144691838908512E-2</c:v>
                </c:pt>
                <c:pt idx="53">
                  <c:v>2.5948859579293201E-2</c:v>
                </c:pt>
                <c:pt idx="54">
                  <c:v>2.3100576808308019E-2</c:v>
                </c:pt>
                <c:pt idx="55">
                  <c:v>2.0562759294686251E-2</c:v>
                </c:pt>
                <c:pt idx="56">
                  <c:v>1.8302106387279891E-2</c:v>
                </c:pt>
                <c:pt idx="57">
                  <c:v>1.6288756998909724E-2</c:v>
                </c:pt>
                <c:pt idx="58">
                  <c:v>1.4495966502294866E-2</c:v>
                </c:pt>
                <c:pt idx="59">
                  <c:v>1.2899806060939002E-2</c:v>
                </c:pt>
                <c:pt idx="60">
                  <c:v>1.1478884923683626E-2</c:v>
                </c:pt>
                <c:pt idx="61">
                  <c:v>1.021409549570264E-2</c:v>
                </c:pt>
                <c:pt idx="62">
                  <c:v>9.0883804986756321E-3</c:v>
                </c:pt>
                <c:pt idx="63">
                  <c:v>8.0865211984117828E-3</c:v>
                </c:pt>
                <c:pt idx="64">
                  <c:v>7.1949454690774742E-3</c:v>
                </c:pt>
                <c:pt idx="65">
                  <c:v>6.4015543475699314E-3</c:v>
                </c:pt>
                <c:pt idx="66">
                  <c:v>5.69556568451445E-3</c:v>
                </c:pt>
                <c:pt idx="67">
                  <c:v>5.0673735004605012E-3</c:v>
                </c:pt>
                <c:pt idx="68">
                  <c:v>4.5084216922145377E-3</c:v>
                </c:pt>
                <c:pt idx="69">
                  <c:v>4.0110907935451455E-3</c:v>
                </c:pt>
                <c:pt idx="70">
                  <c:v>3.5685965682180406E-3</c:v>
                </c:pt>
                <c:pt idx="71">
                  <c:v>3.1748992951589703E-3</c:v>
                </c:pt>
                <c:pt idx="72">
                  <c:v>2.8246226909074764E-3</c:v>
                </c:pt>
                <c:pt idx="73">
                  <c:v>2.5129815001350242E-3</c:v>
                </c:pt>
                <c:pt idx="74">
                  <c:v>2.235716868583162E-3</c:v>
                </c:pt>
                <c:pt idx="75">
                  <c:v>1.9890386928120354E-3</c:v>
                </c:pt>
                <c:pt idx="76">
                  <c:v>1.7695742166829107E-3</c:v>
                </c:pt>
                <c:pt idx="77">
                  <c:v>1.5743222149916301E-3</c:v>
                </c:pt>
                <c:pt idx="78">
                  <c:v>1.4006121698843961E-3</c:v>
                </c:pt>
                <c:pt idx="79">
                  <c:v>1.2460679055976175E-3</c:v>
                </c:pt>
                <c:pt idx="80">
                  <c:v>1.1085752017917995E-3</c:v>
                </c:pt>
                <c:pt idx="81">
                  <c:v>9.8625295551448542E-4</c:v>
                </c:pt>
                <c:pt idx="82">
                  <c:v>8.7742750690936655E-4</c:v>
                </c:pt>
                <c:pt idx="83">
                  <c:v>7.8060978450241294E-4</c:v>
                </c:pt>
                <c:pt idx="84">
                  <c:v>6.944749625703104E-4</c:v>
                </c:pt>
                <c:pt idx="85">
                  <c:v>6.1784435606244081E-4</c:v>
                </c:pt>
                <c:pt idx="86">
                  <c:v>5.4966930812802377E-4</c:v>
                </c:pt>
                <c:pt idx="87">
                  <c:v>4.890168518035938E-4</c:v>
                </c:pt>
                <c:pt idx="88">
                  <c:v>4.3505695113385366E-4</c:v>
                </c:pt>
                <c:pt idx="89">
                  <c:v>3.8705114820248774E-4</c:v>
                </c:pt>
                <c:pt idx="90">
                  <c:v>3.4434246148919232E-4</c:v>
                </c:pt>
                <c:pt idx="91">
                  <c:v>3.0634639787486552E-4</c:v>
                </c:pt>
                <c:pt idx="92">
                  <c:v>2.7254295569827244E-4</c:v>
                </c:pt>
                <c:pt idx="93">
                  <c:v>2.4246950971486638E-4</c:v>
                </c:pt>
                <c:pt idx="94">
                  <c:v>2.157144807940312E-4</c:v>
                </c:pt>
                <c:pt idx="95">
                  <c:v>1.919117038702114E-4</c:v>
                </c:pt>
                <c:pt idx="96">
                  <c:v>1.7073541717593991E-4</c:v>
                </c:pt>
                <c:pt idx="97">
                  <c:v>1.5189580425619838E-4</c:v>
                </c:pt>
                <c:pt idx="98">
                  <c:v>1.3513502780641601E-4</c:v>
                </c:pt>
                <c:pt idx="99">
                  <c:v>1.2022370109143914E-4</c:v>
                </c:pt>
                <c:pt idx="100">
                  <c:v>1.0695774868009967E-4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Phi(t)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Sheet1!autox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Sheet1!autoy3</c:f>
              <c:numCache>
                <c:formatCode>General</c:formatCode>
                <c:ptCount val="101"/>
                <c:pt idx="0">
                  <c:v>0</c:v>
                </c:pt>
                <c:pt idx="1">
                  <c:v>4.6509414156998049E-3</c:v>
                </c:pt>
                <c:pt idx="2">
                  <c:v>1.526338866132799E-2</c:v>
                </c:pt>
                <c:pt idx="3">
                  <c:v>3.1375829187271657E-2</c:v>
                </c:pt>
                <c:pt idx="4">
                  <c:v>5.5825532487144863E-2</c:v>
                </c:pt>
                <c:pt idx="5">
                  <c:v>9.1565896450483769E-2</c:v>
                </c:pt>
                <c:pt idx="6">
                  <c:v>0.13983356906612288</c:v>
                </c:pt>
                <c:pt idx="7">
                  <c:v>0.19964678743860759</c:v>
                </c:pt>
                <c:pt idx="8">
                  <c:v>0.26815596704459094</c:v>
                </c:pt>
                <c:pt idx="9">
                  <c:v>0.34137000121789435</c:v>
                </c:pt>
                <c:pt idx="10">
                  <c:v>0.41492559849932636</c:v>
                </c:pt>
                <c:pt idx="11">
                  <c:v>0.48471807733296757</c:v>
                </c:pt>
                <c:pt idx="12">
                  <c:v>0.54732557595149445</c:v>
                </c:pt>
                <c:pt idx="13">
                  <c:v>0.60022882645721976</c:v>
                </c:pt>
                <c:pt idx="14">
                  <c:v>0.64186390300797569</c:v>
                </c:pt>
                <c:pt idx="15">
                  <c:v>0.67155705416527423</c:v>
                </c:pt>
                <c:pt idx="16">
                  <c:v>0.6893887436511652</c:v>
                </c:pt>
                <c:pt idx="17">
                  <c:v>0.6960255021806393</c:v>
                </c:pt>
                <c:pt idx="18">
                  <c:v>0.69254769353840429</c:v>
                </c:pt>
                <c:pt idx="19">
                  <c:v>0.68029137295678199</c:v>
                </c:pt>
                <c:pt idx="20">
                  <c:v>0.6607142458412042</c:v>
                </c:pt>
                <c:pt idx="21">
                  <c:v>0.63528965531689341</c:v>
                </c:pt>
                <c:pt idx="22">
                  <c:v>0.60542841043209505</c:v>
                </c:pt>
                <c:pt idx="23">
                  <c:v>0.57242577552446328</c:v>
                </c:pt>
                <c:pt idx="24">
                  <c:v>0.53742967997599644</c:v>
                </c:pt>
                <c:pt idx="25">
                  <c:v>0.50142580580192553</c:v>
                </c:pt>
                <c:pt idx="26">
                  <c:v>0.46523535945599637</c:v>
                </c:pt>
                <c:pt idx="27">
                  <c:v>0.42952179694798936</c:v>
                </c:pt>
                <c:pt idx="28">
                  <c:v>0.39480337839093133</c:v>
                </c:pt>
                <c:pt idx="29">
                  <c:v>0.3614690665672049</c:v>
                </c:pt>
                <c:pt idx="30">
                  <c:v>0.32979588512254332</c:v>
                </c:pt>
                <c:pt idx="31">
                  <c:v>0.29996637868179438</c:v>
                </c:pt>
                <c:pt idx="32">
                  <c:v>0.27208525457953708</c:v>
                </c:pt>
                <c:pt idx="33">
                  <c:v>0.24619463307819558</c:v>
                </c:pt>
                <c:pt idx="34">
                  <c:v>0.22228759713620022</c:v>
                </c:pt>
                <c:pt idx="35">
                  <c:v>0.20031992528591097</c:v>
                </c:pt>
                <c:pt idx="36">
                  <c:v>0.18022002464340731</c:v>
                </c:pt>
                <c:pt idx="37">
                  <c:v>0.16189716785512806</c:v>
                </c:pt>
                <c:pt idx="38">
                  <c:v>0.14524818902066833</c:v>
                </c:pt>
                <c:pt idx="39">
                  <c:v>0.13016281880444977</c:v>
                </c:pt>
                <c:pt idx="40">
                  <c:v>0.11652784580783256</c:v>
                </c:pt>
                <c:pt idx="41">
                  <c:v>0.10423028591451197</c:v>
                </c:pt>
                <c:pt idx="42">
                  <c:v>9.3159728384392598E-2</c:v>
                </c:pt>
                <c:pt idx="43">
                  <c:v>8.3210010365675574E-2</c:v>
                </c:pt>
                <c:pt idx="44">
                  <c:v>7.4280352638793304E-2</c:v>
                </c:pt>
                <c:pt idx="45">
                  <c:v>6.6276070437863668E-2</c:v>
                </c:pt>
                <c:pt idx="46">
                  <c:v>5.9108955163263734E-2</c:v>
                </c:pt>
                <c:pt idx="47">
                  <c:v>5.2697406315412552E-2</c:v>
                </c:pt>
                <c:pt idx="48">
                  <c:v>4.6966378347676051E-2</c:v>
                </c:pt>
                <c:pt idx="49">
                  <c:v>4.1847194445912284E-2</c:v>
                </c:pt>
                <c:pt idx="50">
                  <c:v>3.7277268445567967E-2</c:v>
                </c:pt>
                <c:pt idx="51">
                  <c:v>3.3199767062337751E-2</c:v>
                </c:pt>
                <c:pt idx="52">
                  <c:v>2.9563237161898483E-2</c:v>
                </c:pt>
                <c:pt idx="53">
                  <c:v>2.6321216732390469E-2</c:v>
                </c:pt>
                <c:pt idx="54">
                  <c:v>2.343184335367424E-2</c:v>
                </c:pt>
                <c:pt idx="55">
                  <c:v>2.0857470093779477E-2</c:v>
                </c:pt>
                <c:pt idx="56">
                  <c:v>1.8564295735776157E-2</c:v>
                </c:pt>
                <c:pt idx="57">
                  <c:v>1.6522013897402404E-2</c:v>
                </c:pt>
                <c:pt idx="58">
                  <c:v>1.4703483821246914E-2</c:v>
                </c:pt>
                <c:pt idx="59">
                  <c:v>1.3084424274697077E-2</c:v>
                </c:pt>
                <c:pt idx="60">
                  <c:v>1.1643131013835949E-2</c:v>
                </c:pt>
                <c:pt idx="61">
                  <c:v>1.0360217557714418E-2</c:v>
                </c:pt>
                <c:pt idx="62">
                  <c:v>9.2183785266936342E-3</c:v>
                </c:pt>
                <c:pt idx="63">
                  <c:v>8.2021744706036147E-3</c:v>
                </c:pt>
                <c:pt idx="64">
                  <c:v>7.2978369091509154E-3</c:v>
                </c:pt>
                <c:pt idx="65">
                  <c:v>6.4930921965667288E-3</c:v>
                </c:pt>
                <c:pt idx="66">
                  <c:v>5.7770027800217337E-3</c:v>
                </c:pt>
                <c:pt idx="67">
                  <c:v>5.1398244275234605E-3</c:v>
                </c:pt>
                <c:pt idx="68">
                  <c:v>4.5728780410132491E-3</c:v>
                </c:pt>
                <c:pt idx="69">
                  <c:v>4.0684347329132823E-3</c:v>
                </c:pt>
                <c:pt idx="70">
                  <c:v>3.6196129209728699E-3</c:v>
                </c:pt>
                <c:pt idx="71">
                  <c:v>3.2202862806614218E-3</c:v>
                </c:pt>
                <c:pt idx="72">
                  <c:v>2.8650014819945396E-3</c:v>
                </c:pt>
                <c:pt idx="73">
                  <c:v>2.5489047253120433E-3</c:v>
                </c:pt>
                <c:pt idx="74">
                  <c:v>2.2676761759066492E-3</c:v>
                </c:pt>
                <c:pt idx="75">
                  <c:v>2.0174714790351573E-3</c:v>
                </c:pt>
                <c:pt idx="76">
                  <c:v>1.7948696137987396E-3</c:v>
                </c:pt>
                <c:pt idx="77">
                  <c:v>1.5968264161361858E-3</c:v>
                </c:pt>
                <c:pt idx="78">
                  <c:v>1.4206331675125166E-3</c:v>
                </c:pt>
                <c:pt idx="79">
                  <c:v>1.2638797067953964E-3</c:v>
                </c:pt>
                <c:pt idx="80">
                  <c:v>1.1244215784291332E-3</c:v>
                </c:pt>
                <c:pt idx="81">
                  <c:v>1.0003507805718586E-3</c:v>
                </c:pt>
                <c:pt idx="82">
                  <c:v>8.8996972264695356E-4</c:v>
                </c:pt>
                <c:pt idx="83">
                  <c:v>7.9176804309913547E-4</c:v>
                </c:pt>
                <c:pt idx="84">
                  <c:v>7.0440197537654983E-4</c:v>
                </c:pt>
                <c:pt idx="85">
                  <c:v>6.2667598362116481E-4</c:v>
                </c:pt>
                <c:pt idx="86">
                  <c:v>5.5752641957048114E-4</c:v>
                </c:pt>
                <c:pt idx="87">
                  <c:v>4.9600697906882504E-4</c:v>
                </c:pt>
                <c:pt idx="88">
                  <c:v>4.4127576065280163E-4</c:v>
                </c:pt>
                <c:pt idx="89">
                  <c:v>3.9258375018900267E-4</c:v>
                </c:pt>
                <c:pt idx="90">
                  <c:v>3.4926457475748315E-4</c:v>
                </c:pt>
                <c:pt idx="91">
                  <c:v>3.1072538612551473E-4</c:v>
                </c:pt>
                <c:pt idx="92">
                  <c:v>2.7643874945572794E-4</c:v>
                </c:pt>
                <c:pt idx="93">
                  <c:v>2.4593542653425759E-4</c:v>
                </c:pt>
                <c:pt idx="94">
                  <c:v>2.1879795496280622E-4</c:v>
                </c:pt>
                <c:pt idx="95">
                  <c:v>1.946549355913897E-4</c:v>
                </c:pt>
                <c:pt idx="96">
                  <c:v>1.7317595011776693E-4</c:v>
                </c:pt>
                <c:pt idx="97">
                  <c:v>1.5406703937258581E-4</c:v>
                </c:pt>
                <c:pt idx="98">
                  <c:v>1.3706668046033722E-4</c:v>
                </c:pt>
                <c:pt idx="99">
                  <c:v>1.2194220773748103E-4</c:v>
                </c:pt>
                <c:pt idx="100">
                  <c:v>1.0848662867203071E-4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40656"/>
        <c:axId val="375056304"/>
      </c:scatterChart>
      <c:valAx>
        <c:axId val="37774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time / microsec</a:t>
                </a:r>
                <a:endParaRPr lang="ja-JP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5056304"/>
        <c:crosses val="autoZero"/>
        <c:crossBetween val="midCat"/>
      </c:valAx>
      <c:valAx>
        <c:axId val="37505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Phi</a:t>
                </a:r>
                <a:endParaRPr lang="ja-JP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7740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76200</xdr:colOff>
      <xdr:row>4</xdr:row>
      <xdr:rowOff>64770</xdr:rowOff>
    </xdr:from>
    <xdr:ext cx="1325684" cy="3397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テキスト ボックス 1"/>
            <xdr:cNvSpPr txBox="1"/>
          </xdr:nvSpPr>
          <xdr:spPr>
            <a:xfrm>
              <a:off x="7528560" y="735330"/>
              <a:ext cx="1325684" cy="3397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  <m:sup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sSup>
                          <m:sSupPr>
                            <m:ctrlP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𝜆</m:t>
                            </m:r>
                          </m:e>
                          <m:sup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81.8042</m:t>
                        </m:r>
                      </m:num>
                      <m:den>
                        <m:sSup>
                          <m:sSupPr>
                            <m:ctrlP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𝜆</m:t>
                            </m:r>
                          </m:e>
                          <m:sup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kumimoji="1" lang="ja-JP" altLang="en-US" sz="1100"/>
            </a:p>
          </xdr:txBody>
        </xdr:sp>
      </mc:Choice>
      <mc:Fallback xmlns="">
        <xdr:sp macro="" textlink="">
          <xdr:nvSpPr>
            <xdr:cNvPr id="2" name="テキスト ボックス 1"/>
            <xdr:cNvSpPr txBox="1"/>
          </xdr:nvSpPr>
          <xdr:spPr>
            <a:xfrm>
              <a:off x="7528560" y="735330"/>
              <a:ext cx="1325684" cy="3397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kumimoji="1" lang="en-US" altLang="ja-JP" sz="1100" b="0" i="0">
                  <a:latin typeface="Cambria Math" panose="02040503050406030204" pitchFamily="18" charset="0"/>
                </a:rPr>
                <a:t>𝐸=ℎ^2/(2𝑚𝜆^2 )=81.8042/𝜆^2 </a:t>
              </a:r>
              <a:endParaRPr kumimoji="1" lang="ja-JP" altLang="en-US" sz="1100"/>
            </a:p>
          </xdr:txBody>
        </xdr:sp>
      </mc:Fallback>
    </mc:AlternateContent>
    <xdr:clientData/>
  </xdr:oneCellAnchor>
  <xdr:oneCellAnchor>
    <xdr:from>
      <xdr:col>8</xdr:col>
      <xdr:colOff>160020</xdr:colOff>
      <xdr:row>4</xdr:row>
      <xdr:rowOff>87630</xdr:rowOff>
    </xdr:from>
    <xdr:ext cx="1354986" cy="3531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テキスト ボックス 2"/>
            <xdr:cNvSpPr txBox="1"/>
          </xdr:nvSpPr>
          <xdr:spPr>
            <a:xfrm>
              <a:off x="5768340" y="758190"/>
              <a:ext cx="1354986" cy="3531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𝜆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𝑚𝐸</m:t>
                            </m:r>
                          </m:e>
                        </m:rad>
                      </m:den>
                    </m:f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9.04457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𝐸</m:t>
                            </m:r>
                          </m:e>
                        </m:rad>
                      </m:den>
                    </m:f>
                  </m:oMath>
                </m:oMathPara>
              </a14:m>
              <a:endParaRPr kumimoji="1" lang="ja-JP" altLang="en-US" sz="1100"/>
            </a:p>
          </xdr:txBody>
        </xdr:sp>
      </mc:Choice>
      <mc:Fallback xmlns="">
        <xdr:sp macro="" textlink="">
          <xdr:nvSpPr>
            <xdr:cNvPr id="3" name="テキスト ボックス 2"/>
            <xdr:cNvSpPr txBox="1"/>
          </xdr:nvSpPr>
          <xdr:spPr>
            <a:xfrm>
              <a:off x="5768340" y="758190"/>
              <a:ext cx="1354986" cy="3531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kumimoji="1" lang="en-US" altLang="ja-JP" sz="1100" b="0" i="0">
                  <a:latin typeface="Cambria Math" panose="02040503050406030204" pitchFamily="18" charset="0"/>
                </a:rPr>
                <a:t>𝜆=ℎ/√2𝑚𝐸=9.04457/√𝐸</a:t>
              </a:r>
              <a:endParaRPr kumimoji="1" lang="ja-JP" altLang="en-US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213360</xdr:colOff>
          <xdr:row>5</xdr:row>
          <xdr:rowOff>137160</xdr:rowOff>
        </xdr:from>
        <xdr:to>
          <xdr:col>6</xdr:col>
          <xdr:colOff>579120</xdr:colOff>
          <xdr:row>7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calc a, b, R1, R2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10</xdr:row>
          <xdr:rowOff>22860</xdr:rowOff>
        </xdr:from>
        <xdr:to>
          <xdr:col>4</xdr:col>
          <xdr:colOff>1089660</xdr:colOff>
          <xdr:row>11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calibli"/>
                </a:rPr>
                <a:t>calc Phi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312420</xdr:colOff>
      <xdr:row>8</xdr:row>
      <xdr:rowOff>0</xdr:rowOff>
    </xdr:from>
    <xdr:to>
      <xdr:col>4</xdr:col>
      <xdr:colOff>899160</xdr:colOff>
      <xdr:row>9</xdr:row>
      <xdr:rowOff>114300</xdr:rowOff>
    </xdr:to>
    <xdr:sp macro="" textlink="">
      <xdr:nvSpPr>
        <xdr:cNvPr id="6" name="左矢印 5"/>
        <xdr:cNvSpPr/>
      </xdr:nvSpPr>
      <xdr:spPr>
        <a:xfrm>
          <a:off x="2918460" y="1341120"/>
          <a:ext cx="586740" cy="28194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0</xdr:colOff>
      <xdr:row>5</xdr:row>
      <xdr:rowOff>53340</xdr:rowOff>
    </xdr:from>
    <xdr:to>
      <xdr:col>5</xdr:col>
      <xdr:colOff>152400</xdr:colOff>
      <xdr:row>7</xdr:row>
      <xdr:rowOff>129540</xdr:rowOff>
    </xdr:to>
    <xdr:sp macro="" textlink="">
      <xdr:nvSpPr>
        <xdr:cNvPr id="7" name="下矢印 6"/>
        <xdr:cNvSpPr/>
      </xdr:nvSpPr>
      <xdr:spPr>
        <a:xfrm>
          <a:off x="3703320" y="891540"/>
          <a:ext cx="152400" cy="4114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7620</xdr:colOff>
      <xdr:row>13</xdr:row>
      <xdr:rowOff>26670</xdr:rowOff>
    </xdr:from>
    <xdr:to>
      <xdr:col>14</xdr:col>
      <xdr:colOff>731520</xdr:colOff>
      <xdr:row>35</xdr:row>
      <xdr:rowOff>60960</xdr:rowOff>
    </xdr:to>
    <xdr:graphicFrame macro="">
      <xdr:nvGraphicFramePr>
        <xdr:cNvPr id="5" name="グラフ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76200</xdr:colOff>
      <xdr:row>6</xdr:row>
      <xdr:rowOff>133350</xdr:rowOff>
    </xdr:from>
    <xdr:ext cx="1474634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テキスト ボックス 3"/>
            <xdr:cNvSpPr txBox="1"/>
          </xdr:nvSpPr>
          <xdr:spPr>
            <a:xfrm>
              <a:off x="5684520" y="1139190"/>
              <a:ext cx="1474634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𝐸</m:t>
                            </m:r>
                          </m:num>
                          <m:den>
                            <m:r>
                              <a:rPr kumimoji="1" lang="en-US" altLang="ja-JP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den>
                        </m:f>
                      </m:e>
                    </m:rad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=437.393 </m:t>
                    </m:r>
                    <m:rad>
                      <m:radPr>
                        <m:degHide m:val="on"/>
                        <m:ctrlP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e>
                    </m:rad>
                  </m:oMath>
                </m:oMathPara>
              </a14:m>
              <a:endParaRPr kumimoji="1" lang="ja-JP" altLang="en-US" sz="1100"/>
            </a:p>
          </xdr:txBody>
        </xdr:sp>
      </mc:Choice>
      <mc:Fallback xmlns="">
        <xdr:sp macro="" textlink="">
          <xdr:nvSpPr>
            <xdr:cNvPr id="4" name="テキスト ボックス 3"/>
            <xdr:cNvSpPr txBox="1"/>
          </xdr:nvSpPr>
          <xdr:spPr>
            <a:xfrm>
              <a:off x="5684520" y="1139190"/>
              <a:ext cx="1474634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kumimoji="1" lang="en-US" altLang="ja-JP" sz="1100" b="0" i="0">
                  <a:latin typeface="Cambria Math" panose="02040503050406030204" pitchFamily="18" charset="0"/>
                </a:rPr>
                <a:t>𝑣=√(2𝐸/𝑚)=437.393 √𝐸</a:t>
              </a:r>
              <a:endParaRPr kumimoji="1" lang="ja-JP" altLang="en-US" sz="1100"/>
            </a:p>
          </xdr:txBody>
        </xdr:sp>
      </mc:Fallback>
    </mc:AlternateContent>
    <xdr:clientData/>
  </xdr:oneCellAnchor>
  <xdr:oneCellAnchor>
    <xdr:from>
      <xdr:col>10</xdr:col>
      <xdr:colOff>175260</xdr:colOff>
      <xdr:row>6</xdr:row>
      <xdr:rowOff>163830</xdr:rowOff>
    </xdr:from>
    <xdr:ext cx="926151" cy="50295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テキスト ボックス 9"/>
            <xdr:cNvSpPr txBox="1"/>
          </xdr:nvSpPr>
          <xdr:spPr>
            <a:xfrm>
              <a:off x="7627620" y="1169670"/>
              <a:ext cx="926151" cy="5029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𝜆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𝑖𝑛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𝑎𝑛𝑔𝑠𝑡𝑟𝑜𝑚</m:t>
                    </m:r>
                  </m:oMath>
                </m:oMathPara>
              </a14:m>
              <a:endParaRPr kumimoji="1" lang="en-US" altLang="ja-JP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𝑖𝑛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𝑚𝑒𝑉</m:t>
                    </m:r>
                  </m:oMath>
                </m:oMathPara>
              </a14:m>
              <a:endParaRPr kumimoji="1" lang="en-US" altLang="ja-JP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𝑖𝑛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/</m:t>
                    </m:r>
                    <m:r>
                      <a:rPr kumimoji="1" lang="en-US" altLang="ja-JP" sz="1100" b="0" i="1">
                        <a:latin typeface="Cambria Math" panose="02040503050406030204" pitchFamily="18" charset="0"/>
                      </a:rPr>
                      <m:t>𝑠</m:t>
                    </m:r>
                  </m:oMath>
                </m:oMathPara>
              </a14:m>
              <a:endParaRPr kumimoji="1" lang="en-US" altLang="ja-JP" sz="1100" b="0" i="1"/>
            </a:p>
          </xdr:txBody>
        </xdr:sp>
      </mc:Choice>
      <mc:Fallback xmlns="">
        <xdr:sp macro="" textlink="">
          <xdr:nvSpPr>
            <xdr:cNvPr id="10" name="テキスト ボックス 9"/>
            <xdr:cNvSpPr txBox="1"/>
          </xdr:nvSpPr>
          <xdr:spPr>
            <a:xfrm>
              <a:off x="7627620" y="1169670"/>
              <a:ext cx="926151" cy="5029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kumimoji="1" lang="en-US" altLang="ja-JP" sz="1100" b="0" i="0">
                  <a:latin typeface="Cambria Math" panose="02040503050406030204" pitchFamily="18" charset="0"/>
                </a:rPr>
                <a:t>𝜆 𝑖𝑛 𝑎𝑛𝑔𝑠𝑡𝑟𝑜𝑚</a:t>
              </a:r>
              <a:endParaRPr kumimoji="1" lang="en-US" altLang="ja-JP" sz="1100" b="0" i="1">
                <a:latin typeface="Cambria Math" panose="02040503050406030204" pitchFamily="18" charset="0"/>
              </a:endParaRPr>
            </a:p>
            <a:p>
              <a:r>
                <a:rPr kumimoji="1" lang="en-US" altLang="ja-JP" sz="1100" b="0" i="0">
                  <a:latin typeface="Cambria Math" panose="02040503050406030204" pitchFamily="18" charset="0"/>
                </a:rPr>
                <a:t>𝐸 𝑖𝑛 𝑚𝑒𝑉</a:t>
              </a:r>
              <a:endParaRPr kumimoji="1" lang="en-US" altLang="ja-JP" sz="1100" b="0" i="1">
                <a:latin typeface="Cambria Math" panose="02040503050406030204" pitchFamily="18" charset="0"/>
              </a:endParaRPr>
            </a:p>
            <a:p>
              <a:r>
                <a:rPr kumimoji="1" lang="en-US" altLang="ja-JP" sz="1100" b="0" i="0">
                  <a:latin typeface="Cambria Math" panose="02040503050406030204" pitchFamily="18" charset="0"/>
                </a:rPr>
                <a:t>𝑣 𝑖𝑛 𝑚/𝑠</a:t>
              </a:r>
              <a:endParaRPr kumimoji="1" lang="en-US" altLang="ja-JP" sz="1100" b="0" i="1"/>
            </a:p>
          </xdr:txBody>
        </xdr:sp>
      </mc:Fallback>
    </mc:AlternateContent>
    <xdr:clientData/>
  </xdr:oneCellAnchor>
  <xdr:twoCellAnchor>
    <xdr:from>
      <xdr:col>4</xdr:col>
      <xdr:colOff>205740</xdr:colOff>
      <xdr:row>14</xdr:row>
      <xdr:rowOff>0</xdr:rowOff>
    </xdr:from>
    <xdr:to>
      <xdr:col>7</xdr:col>
      <xdr:colOff>548640</xdr:colOff>
      <xdr:row>20</xdr:row>
      <xdr:rowOff>60960</xdr:rowOff>
    </xdr:to>
    <xdr:sp macro="" textlink="">
      <xdr:nvSpPr>
        <xdr:cNvPr id="8" name="テキスト ボックス 7"/>
        <xdr:cNvSpPr txBox="1"/>
      </xdr:nvSpPr>
      <xdr:spPr>
        <a:xfrm>
          <a:off x="2811780" y="2346960"/>
          <a:ext cx="2735580" cy="10668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400">
              <a:solidFill>
                <a:schemeClr val="bg1"/>
              </a:solidFill>
            </a:rPr>
            <a:t>～使い方～</a:t>
          </a:r>
          <a:endParaRPr kumimoji="1" lang="en-US" altLang="ja-JP" sz="1400">
            <a:solidFill>
              <a:schemeClr val="bg1"/>
            </a:solidFill>
          </a:endParaRPr>
        </a:p>
        <a:p>
          <a:r>
            <a:rPr kumimoji="1" lang="ja-JP" altLang="en-US" sz="1400">
              <a:solidFill>
                <a:schemeClr val="bg1"/>
              </a:solidFill>
            </a:rPr>
            <a:t>・</a:t>
          </a:r>
          <a:r>
            <a:rPr kumimoji="1" lang="en-US" altLang="ja-JP" sz="1400">
              <a:solidFill>
                <a:schemeClr val="bg1"/>
              </a:solidFill>
            </a:rPr>
            <a:t>tmin, tmax, tstep,</a:t>
          </a:r>
          <a:r>
            <a:rPr kumimoji="1" lang="en-US" altLang="ja-JP" sz="1400" baseline="0">
              <a:solidFill>
                <a:schemeClr val="bg1"/>
              </a:solidFill>
            </a:rPr>
            <a:t> lambda</a:t>
          </a:r>
          <a:r>
            <a:rPr kumimoji="1" lang="ja-JP" altLang="en-US" sz="1400" baseline="0">
              <a:solidFill>
                <a:schemeClr val="bg1"/>
              </a:solidFill>
            </a:rPr>
            <a:t>を入力</a:t>
          </a:r>
          <a:endParaRPr kumimoji="1" lang="en-US" altLang="ja-JP" sz="1400" baseline="0">
            <a:solidFill>
              <a:schemeClr val="bg1"/>
            </a:solidFill>
          </a:endParaRPr>
        </a:p>
        <a:p>
          <a:r>
            <a:rPr kumimoji="1" lang="ja-JP" altLang="en-US" sz="1400" baseline="0">
              <a:solidFill>
                <a:schemeClr val="bg1"/>
              </a:solidFill>
            </a:rPr>
            <a:t>・</a:t>
          </a:r>
          <a:r>
            <a:rPr kumimoji="1" lang="en-US" altLang="ja-JP" sz="1400" baseline="0">
              <a:solidFill>
                <a:schemeClr val="bg1"/>
              </a:solidFill>
            </a:rPr>
            <a:t>"calc a,b,R1,R2" </a:t>
          </a:r>
          <a:r>
            <a:rPr kumimoji="1" lang="ja-JP" altLang="en-US" sz="1400" baseline="0">
              <a:solidFill>
                <a:schemeClr val="bg1"/>
              </a:solidFill>
            </a:rPr>
            <a:t>をクリック</a:t>
          </a:r>
          <a:endParaRPr kumimoji="1" lang="en-US" altLang="ja-JP" sz="1400" baseline="0">
            <a:solidFill>
              <a:schemeClr val="bg1"/>
            </a:solidFill>
          </a:endParaRPr>
        </a:p>
        <a:p>
          <a:r>
            <a:rPr kumimoji="1" lang="ja-JP" altLang="en-US" sz="1400" baseline="0">
              <a:solidFill>
                <a:schemeClr val="bg1"/>
              </a:solidFill>
            </a:rPr>
            <a:t>・</a:t>
          </a:r>
          <a:r>
            <a:rPr kumimoji="1" lang="en-US" altLang="ja-JP" sz="1400" baseline="0">
              <a:solidFill>
                <a:schemeClr val="bg1"/>
              </a:solidFill>
            </a:rPr>
            <a:t>"calc Phi" </a:t>
          </a:r>
          <a:r>
            <a:rPr kumimoji="1" lang="ja-JP" altLang="en-US" sz="1400" baseline="0">
              <a:solidFill>
                <a:schemeClr val="bg1"/>
              </a:solidFill>
            </a:rPr>
            <a:t>をクリック</a:t>
          </a:r>
          <a:endParaRPr kumimoji="1" lang="en-US" altLang="ja-JP" sz="1400" baseline="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02"/>
  <sheetViews>
    <sheetView tabSelected="1" workbookViewId="0">
      <selection activeCell="E25" sqref="E25"/>
    </sheetView>
  </sheetViews>
  <sheetFormatPr defaultRowHeight="13.2"/>
  <cols>
    <col min="2" max="2" width="9.33203125" bestFit="1" customWidth="1"/>
    <col min="3" max="3" width="9.88671875" bestFit="1" customWidth="1"/>
    <col min="4" max="4" width="9.88671875" customWidth="1"/>
    <col min="5" max="5" width="16" customWidth="1"/>
    <col min="6" max="6" width="10" bestFit="1" customWidth="1"/>
    <col min="9" max="9" width="15.88671875" bestFit="1" customWidth="1"/>
    <col min="10" max="10" width="11" customWidth="1"/>
    <col min="11" max="11" width="12.44140625" customWidth="1"/>
    <col min="12" max="12" width="11.33203125" customWidth="1"/>
    <col min="14" max="14" width="17.109375" customWidth="1"/>
    <col min="15" max="15" width="13.33203125" bestFit="1" customWidth="1"/>
  </cols>
  <sheetData>
    <row r="1" spans="1:15">
      <c r="A1" s="3" t="s">
        <v>26</v>
      </c>
      <c r="B1" s="3" t="s">
        <v>0</v>
      </c>
      <c r="C1" s="3" t="s">
        <v>1</v>
      </c>
      <c r="D1" s="3" t="s">
        <v>23</v>
      </c>
      <c r="F1" s="2" t="s">
        <v>2</v>
      </c>
      <c r="G1" s="2">
        <v>0</v>
      </c>
      <c r="I1" s="2" t="s">
        <v>22</v>
      </c>
      <c r="J1" s="2">
        <v>1</v>
      </c>
      <c r="K1" s="2" t="s">
        <v>21</v>
      </c>
      <c r="L1" s="2">
        <v>2</v>
      </c>
      <c r="M1" t="s">
        <v>11</v>
      </c>
      <c r="N1" s="1">
        <v>6.6260695699999996E-34</v>
      </c>
      <c r="O1" t="s">
        <v>13</v>
      </c>
    </row>
    <row r="2" spans="1:15">
      <c r="A2">
        <v>0</v>
      </c>
      <c r="B2">
        <v>0</v>
      </c>
      <c r="C2">
        <v>0</v>
      </c>
      <c r="D2">
        <v>0</v>
      </c>
      <c r="F2" s="2" t="s">
        <v>3</v>
      </c>
      <c r="G2" s="2">
        <v>100</v>
      </c>
      <c r="I2" t="s">
        <v>10</v>
      </c>
      <c r="K2" t="s">
        <v>5</v>
      </c>
      <c r="M2" t="s">
        <v>12</v>
      </c>
      <c r="N2" s="1">
        <v>1.6749273509999999E-27</v>
      </c>
      <c r="O2" t="s">
        <v>14</v>
      </c>
    </row>
    <row r="3" spans="1:15">
      <c r="A3">
        <v>1</v>
      </c>
      <c r="B3">
        <v>4.5920044236967038E-3</v>
      </c>
      <c r="C3">
        <v>5.8936992003101428E-5</v>
      </c>
      <c r="D3">
        <v>4.6509414156998049E-3</v>
      </c>
      <c r="F3" s="2" t="s">
        <v>4</v>
      </c>
      <c r="G3" s="2">
        <v>1</v>
      </c>
      <c r="I3" s="3" t="s">
        <v>21</v>
      </c>
      <c r="J3" s="4">
        <f>N1*(2*N2*(J1*10^-3)*N3)^-0.5*10^10</f>
        <v>9.0445677888090241</v>
      </c>
      <c r="K3" s="3" t="s">
        <v>22</v>
      </c>
      <c r="L3" s="4">
        <f>N1^2/(2*N2*(L1*10^-10)^2)*N4*10^3</f>
        <v>20.451051621590441</v>
      </c>
      <c r="M3" t="s">
        <v>15</v>
      </c>
      <c r="N3" s="1">
        <v>1.6021765699999999E-19</v>
      </c>
      <c r="O3" t="s">
        <v>16</v>
      </c>
    </row>
    <row r="4" spans="1:15">
      <c r="A4">
        <v>2</v>
      </c>
      <c r="B4">
        <v>1.388239379219126E-2</v>
      </c>
      <c r="C4">
        <v>1.3809948691367294E-3</v>
      </c>
      <c r="D4">
        <v>1.526338866132799E-2</v>
      </c>
      <c r="I4" s="3" t="s">
        <v>29</v>
      </c>
      <c r="J4" s="8">
        <f>SQRT(2*N3*J1*10^-3/N2)</f>
        <v>437.39337306736206</v>
      </c>
      <c r="K4" s="3" t="s">
        <v>29</v>
      </c>
      <c r="L4" s="8">
        <f>SQRT(2*L3*10^-3*N3/N2)</f>
        <v>1978.0170065417958</v>
      </c>
      <c r="M4" t="s">
        <v>17</v>
      </c>
      <c r="N4" s="1">
        <f>1/N3</f>
        <v>6.2415093237819607E+18</v>
      </c>
      <c r="O4" t="s">
        <v>18</v>
      </c>
    </row>
    <row r="5" spans="1:15">
      <c r="A5">
        <v>3</v>
      </c>
      <c r="B5">
        <v>2.36883589109874E-2</v>
      </c>
      <c r="C5">
        <v>7.6874702762842586E-3</v>
      </c>
      <c r="D5">
        <v>3.1375829187271657E-2</v>
      </c>
      <c r="F5" s="2" t="s">
        <v>21</v>
      </c>
      <c r="G5" s="2">
        <v>2</v>
      </c>
    </row>
    <row r="6" spans="1:15">
      <c r="A6">
        <v>4</v>
      </c>
      <c r="B6">
        <v>3.2050882985075413E-2</v>
      </c>
      <c r="C6">
        <v>2.3774649502069447E-2</v>
      </c>
      <c r="D6">
        <v>5.5825532487144863E-2</v>
      </c>
      <c r="M6" s="2" t="s">
        <v>19</v>
      </c>
    </row>
    <row r="7" spans="1:15">
      <c r="A7">
        <v>5</v>
      </c>
      <c r="B7">
        <v>3.8253930938999599E-2</v>
      </c>
      <c r="C7">
        <v>5.3311965511484177E-2</v>
      </c>
      <c r="D7">
        <v>9.1565896450483769E-2</v>
      </c>
      <c r="M7" s="3" t="s">
        <v>20</v>
      </c>
    </row>
    <row r="8" spans="1:15">
      <c r="A8">
        <v>6</v>
      </c>
      <c r="B8">
        <v>4.2236400788709744E-2</v>
      </c>
      <c r="C8">
        <v>9.7597168277413118E-2</v>
      </c>
      <c r="D8">
        <v>0.13983356906612288</v>
      </c>
    </row>
    <row r="9" spans="1:15">
      <c r="A9">
        <v>7</v>
      </c>
      <c r="B9">
        <v>4.4248534026913977E-2</v>
      </c>
      <c r="C9">
        <v>0.15539825341169361</v>
      </c>
      <c r="D9">
        <v>0.19964678743860759</v>
      </c>
      <c r="F9" s="3" t="s">
        <v>6</v>
      </c>
      <c r="G9" s="3">
        <v>0.34156310578466142</v>
      </c>
    </row>
    <row r="10" spans="1:15">
      <c r="A10">
        <v>8</v>
      </c>
      <c r="B10">
        <v>4.4658309552547834E-2</v>
      </c>
      <c r="C10">
        <v>0.22349765749204309</v>
      </c>
      <c r="D10">
        <v>0.26815596704459094</v>
      </c>
      <c r="F10" s="3" t="s">
        <v>7</v>
      </c>
      <c r="G10" s="3">
        <v>0.11692024649309592</v>
      </c>
    </row>
    <row r="11" spans="1:15">
      <c r="A11">
        <v>9</v>
      </c>
      <c r="B11">
        <v>4.384818464567506E-2</v>
      </c>
      <c r="C11">
        <v>0.29752181657221927</v>
      </c>
      <c r="D11">
        <v>0.34137000121789435</v>
      </c>
      <c r="F11" s="3" t="s">
        <v>8</v>
      </c>
      <c r="G11" s="3">
        <v>0.59256852437670893</v>
      </c>
    </row>
    <row r="12" spans="1:15">
      <c r="A12">
        <v>10</v>
      </c>
      <c r="B12">
        <v>4.2164952510251895E-2</v>
      </c>
      <c r="C12">
        <v>0.37276064598907449</v>
      </c>
      <c r="D12">
        <v>0.41492559849932636</v>
      </c>
      <c r="F12" s="3" t="s">
        <v>9</v>
      </c>
      <c r="G12" s="3">
        <v>0.75091688846827243</v>
      </c>
    </row>
    <row r="13" spans="1:15">
      <c r="A13">
        <v>11</v>
      </c>
      <c r="B13">
        <v>3.9899789399888204E-2</v>
      </c>
      <c r="C13">
        <v>0.44481828793307937</v>
      </c>
      <c r="D13">
        <v>0.48471807733296757</v>
      </c>
      <c r="F13" s="3" t="s">
        <v>24</v>
      </c>
      <c r="G13" s="3">
        <v>11038463884475.537</v>
      </c>
      <c r="H13" t="s">
        <v>25</v>
      </c>
    </row>
    <row r="14" spans="1:15">
      <c r="A14">
        <v>12</v>
      </c>
      <c r="B14">
        <v>3.7284615527205384E-2</v>
      </c>
      <c r="C14">
        <v>0.51004096042428904</v>
      </c>
      <c r="D14">
        <v>0.54732557595149445</v>
      </c>
    </row>
    <row r="15" spans="1:15">
      <c r="A15">
        <v>13</v>
      </c>
      <c r="B15">
        <v>3.4496561261533637E-2</v>
      </c>
      <c r="C15">
        <v>0.56573226519568609</v>
      </c>
      <c r="D15">
        <v>0.60022882645721976</v>
      </c>
    </row>
    <row r="16" spans="1:15">
      <c r="A16">
        <v>14</v>
      </c>
      <c r="B16">
        <v>3.1665832814205631E-2</v>
      </c>
      <c r="C16">
        <v>0.61019807019377004</v>
      </c>
      <c r="D16">
        <v>0.64186390300797569</v>
      </c>
    </row>
    <row r="17" spans="1:4">
      <c r="A17">
        <v>15</v>
      </c>
      <c r="B17">
        <v>2.888440125545344E-2</v>
      </c>
      <c r="C17">
        <v>0.64267265290982079</v>
      </c>
      <c r="D17">
        <v>0.67155705416527423</v>
      </c>
    </row>
    <row r="18" spans="1:4">
      <c r="A18">
        <v>16</v>
      </c>
      <c r="B18">
        <v>2.6214206154447212E-2</v>
      </c>
      <c r="C18">
        <v>0.66317453749671795</v>
      </c>
      <c r="D18">
        <v>0.6893887436511652</v>
      </c>
    </row>
    <row r="19" spans="1:4">
      <c r="A19">
        <v>17</v>
      </c>
      <c r="B19">
        <v>2.3694297818191611E-2</v>
      </c>
      <c r="C19">
        <v>0.67233120436244764</v>
      </c>
      <c r="D19">
        <v>0.6960255021806393</v>
      </c>
    </row>
    <row r="20" spans="1:4">
      <c r="A20">
        <v>18</v>
      </c>
      <c r="B20">
        <v>2.1346748207933277E-2</v>
      </c>
      <c r="C20">
        <v>0.67120094533047103</v>
      </c>
      <c r="D20">
        <v>0.69254769353840429</v>
      </c>
    </row>
    <row r="21" spans="1:4">
      <c r="A21">
        <v>19</v>
      </c>
      <c r="B21">
        <v>1.9181371224494294E-2</v>
      </c>
      <c r="C21">
        <v>0.66111000173228773</v>
      </c>
      <c r="D21">
        <v>0.68029137295678199</v>
      </c>
    </row>
    <row r="22" spans="1:4">
      <c r="A22">
        <v>20</v>
      </c>
      <c r="B22">
        <v>1.7199389760087828E-2</v>
      </c>
      <c r="C22">
        <v>0.64351485608111636</v>
      </c>
      <c r="D22">
        <v>0.6607142458412042</v>
      </c>
    </row>
    <row r="23" spans="1:4">
      <c r="A23">
        <v>21</v>
      </c>
      <c r="B23">
        <v>1.5396219749190219E-2</v>
      </c>
      <c r="C23">
        <v>0.61989343556770315</v>
      </c>
      <c r="D23">
        <v>0.63528965531689341</v>
      </c>
    </row>
    <row r="24" spans="1:4">
      <c r="A24">
        <v>22</v>
      </c>
      <c r="B24">
        <v>1.3763540531321955E-2</v>
      </c>
      <c r="C24">
        <v>0.59166486990077305</v>
      </c>
      <c r="D24">
        <v>0.60542841043209505</v>
      </c>
    </row>
    <row r="25" spans="1:4">
      <c r="A25">
        <v>23</v>
      </c>
      <c r="B25">
        <v>1.2290803843468439E-2</v>
      </c>
      <c r="C25">
        <v>0.5601349716809948</v>
      </c>
      <c r="D25">
        <v>0.57242577552446328</v>
      </c>
    </row>
    <row r="26" spans="1:4">
      <c r="A26">
        <v>24</v>
      </c>
      <c r="B26">
        <v>1.0966310709951733E-2</v>
      </c>
      <c r="C26">
        <v>0.52646336926604476</v>
      </c>
      <c r="D26">
        <v>0.53742967997599644</v>
      </c>
    </row>
    <row r="27" spans="1:4">
      <c r="A27">
        <v>25</v>
      </c>
      <c r="B27">
        <v>9.7779617795077465E-3</v>
      </c>
      <c r="C27">
        <v>0.49164784402241773</v>
      </c>
      <c r="D27">
        <v>0.50142580580192553</v>
      </c>
    </row>
    <row r="28" spans="1:4">
      <c r="A28">
        <v>26</v>
      </c>
      <c r="B28">
        <v>8.7137649204027407E-3</v>
      </c>
      <c r="C28">
        <v>0.4565215945355936</v>
      </c>
      <c r="D28">
        <v>0.46523535945599637</v>
      </c>
    </row>
    <row r="29" spans="1:4">
      <c r="A29">
        <v>27</v>
      </c>
      <c r="B29">
        <v>7.7621652037118283E-3</v>
      </c>
      <c r="C29">
        <v>0.42175963174427755</v>
      </c>
      <c r="D29">
        <v>0.42952179694798936</v>
      </c>
    </row>
    <row r="30" spans="1:4">
      <c r="A30">
        <v>28</v>
      </c>
      <c r="B30">
        <v>6.9122470054082986E-3</v>
      </c>
      <c r="C30">
        <v>0.387891131385523</v>
      </c>
      <c r="D30">
        <v>0.39480337839093133</v>
      </c>
    </row>
    <row r="31" spans="1:4">
      <c r="A31">
        <v>29</v>
      </c>
      <c r="B31">
        <v>6.1538456304208325E-3</v>
      </c>
      <c r="C31">
        <v>0.35531522093678408</v>
      </c>
      <c r="D31">
        <v>0.3614690665672049</v>
      </c>
    </row>
    <row r="32" spans="1:4">
      <c r="A32">
        <v>30</v>
      </c>
      <c r="B32">
        <v>5.4775962095958124E-3</v>
      </c>
      <c r="C32">
        <v>0.32431828891294751</v>
      </c>
      <c r="D32">
        <v>0.32979588512254332</v>
      </c>
    </row>
    <row r="33" spans="1:4">
      <c r="A33">
        <v>31</v>
      </c>
      <c r="B33">
        <v>4.8749401949012786E-3</v>
      </c>
      <c r="C33">
        <v>0.29509143848689312</v>
      </c>
      <c r="D33">
        <v>0.29996637868179438</v>
      </c>
    </row>
    <row r="34" spans="1:4">
      <c r="A34">
        <v>32</v>
      </c>
      <c r="B34">
        <v>4.3381041486985862E-3</v>
      </c>
      <c r="C34">
        <v>0.26774715043083852</v>
      </c>
      <c r="D34">
        <v>0.27208525457953708</v>
      </c>
    </row>
    <row r="35" spans="1:4">
      <c r="A35">
        <v>33</v>
      </c>
      <c r="B35">
        <v>3.8600613090076304E-3</v>
      </c>
      <c r="C35">
        <v>0.24233457176918796</v>
      </c>
      <c r="D35">
        <v>0.24619463307819558</v>
      </c>
    </row>
    <row r="36" spans="1:4">
      <c r="A36">
        <v>34</v>
      </c>
      <c r="B36">
        <v>3.4344832945284822E-3</v>
      </c>
      <c r="C36">
        <v>0.21885311384167175</v>
      </c>
      <c r="D36">
        <v>0.22228759713620022</v>
      </c>
    </row>
    <row r="37" spans="1:4">
      <c r="A37">
        <v>35</v>
      </c>
      <c r="B37">
        <v>3.0556870307606853E-3</v>
      </c>
      <c r="C37">
        <v>0.1972642382551503</v>
      </c>
      <c r="D37">
        <v>0.20031992528591097</v>
      </c>
    </row>
    <row r="38" spans="1:4">
      <c r="A38">
        <v>36</v>
      </c>
      <c r="B38">
        <v>2.7185803256814809E-3</v>
      </c>
      <c r="C38">
        <v>0.17750144431772583</v>
      </c>
      <c r="D38">
        <v>0.18022002464340731</v>
      </c>
    </row>
    <row r="39" spans="1:4">
      <c r="A39">
        <v>37</v>
      </c>
      <c r="B39">
        <v>2.4186083396262365E-3</v>
      </c>
      <c r="C39">
        <v>0.15947855951550183</v>
      </c>
      <c r="D39">
        <v>0.16189716785512806</v>
      </c>
    </row>
    <row r="40" spans="1:4">
      <c r="A40">
        <v>38</v>
      </c>
      <c r="B40">
        <v>2.1517023562348538E-3</v>
      </c>
      <c r="C40">
        <v>0.14309648666443348</v>
      </c>
      <c r="D40">
        <v>0.14524818902066833</v>
      </c>
    </row>
    <row r="41" spans="1:4">
      <c r="A41">
        <v>39</v>
      </c>
      <c r="B41">
        <v>1.9142316764542125E-3</v>
      </c>
      <c r="C41">
        <v>0.12824858712799556</v>
      </c>
      <c r="D41">
        <v>0.13016281880444977</v>
      </c>
    </row>
    <row r="42" spans="1:4">
      <c r="A42">
        <v>40</v>
      </c>
      <c r="B42">
        <v>1.7029590558702745E-3</v>
      </c>
      <c r="C42">
        <v>0.11482488675196229</v>
      </c>
      <c r="D42">
        <v>0.11652784580783256</v>
      </c>
    </row>
    <row r="43" spans="1:4">
      <c r="A43">
        <v>41</v>
      </c>
      <c r="B43">
        <v>1.5149998353452944E-3</v>
      </c>
      <c r="C43">
        <v>0.10271528607916668</v>
      </c>
      <c r="D43">
        <v>0.10423028591451197</v>
      </c>
    </row>
    <row r="44" spans="1:4">
      <c r="A44">
        <v>42</v>
      </c>
      <c r="B44">
        <v>1.3477847380084648E-3</v>
      </c>
      <c r="C44">
        <v>9.1811943646384134E-2</v>
      </c>
      <c r="D44">
        <v>9.3159728384392598E-2</v>
      </c>
    </row>
    <row r="45" spans="1:4">
      <c r="A45">
        <v>43</v>
      </c>
      <c r="B45">
        <v>1.1990261943419839E-3</v>
      </c>
      <c r="C45">
        <v>8.2010984171333595E-2</v>
      </c>
      <c r="D45">
        <v>8.3210010365675574E-2</v>
      </c>
    </row>
    <row r="46" spans="1:4">
      <c r="A46">
        <v>44</v>
      </c>
      <c r="B46">
        <v>1.0666879913401766E-3</v>
      </c>
      <c r="C46">
        <v>7.3213664647453131E-2</v>
      </c>
      <c r="D46">
        <v>7.4280352638793304E-2</v>
      </c>
    </row>
    <row r="47" spans="1:4">
      <c r="A47">
        <v>45</v>
      </c>
      <c r="B47">
        <v>9.4895800708430294E-4</v>
      </c>
      <c r="C47">
        <v>6.5327112430779363E-2</v>
      </c>
      <c r="D47">
        <v>6.6276070437863668E-2</v>
      </c>
    </row>
    <row r="48" spans="1:4">
      <c r="A48">
        <v>46</v>
      </c>
      <c r="B48">
        <v>8.4422377831101206E-4</v>
      </c>
      <c r="C48">
        <v>5.8264731384952723E-2</v>
      </c>
      <c r="D48">
        <v>5.9108955163263734E-2</v>
      </c>
    </row>
    <row r="49" spans="1:4">
      <c r="A49">
        <v>47</v>
      </c>
      <c r="B49">
        <v>7.510506484214479E-4</v>
      </c>
      <c r="C49">
        <v>5.1946355666991108E-2</v>
      </c>
      <c r="D49">
        <v>5.2697406315412552E-2</v>
      </c>
    </row>
    <row r="50" spans="1:4">
      <c r="A50">
        <v>48</v>
      </c>
      <c r="B50">
        <v>6.6816225182766097E-4</v>
      </c>
      <c r="C50">
        <v>4.6298216095848388E-2</v>
      </c>
      <c r="D50">
        <v>4.6966378347676051E-2</v>
      </c>
    </row>
    <row r="51" spans="1:4">
      <c r="A51">
        <v>49</v>
      </c>
      <c r="B51">
        <v>5.9442310407661935E-4</v>
      </c>
      <c r="C51">
        <v>4.1252771341835665E-2</v>
      </c>
      <c r="D51">
        <v>4.1847194445912284E-2</v>
      </c>
    </row>
    <row r="52" spans="1:4">
      <c r="A52">
        <v>50</v>
      </c>
      <c r="B52">
        <v>5.2882308345902516E-4</v>
      </c>
      <c r="C52">
        <v>3.6748445362108945E-2</v>
      </c>
      <c r="D52">
        <v>3.7277268445567967E-2</v>
      </c>
    </row>
    <row r="53" spans="1:4">
      <c r="A53">
        <v>51</v>
      </c>
      <c r="B53">
        <v>4.7046360721784091E-4</v>
      </c>
      <c r="C53">
        <v>3.2729303455119908E-2</v>
      </c>
      <c r="D53">
        <v>3.3199767062337751E-2</v>
      </c>
    </row>
    <row r="54" spans="1:4">
      <c r="A54">
        <v>52</v>
      </c>
      <c r="B54">
        <v>4.1854532298997004E-4</v>
      </c>
      <c r="C54">
        <v>2.9144691838908512E-2</v>
      </c>
      <c r="D54">
        <v>2.9563237161898483E-2</v>
      </c>
    </row>
    <row r="55" spans="1:4">
      <c r="A55">
        <v>53</v>
      </c>
      <c r="B55">
        <v>3.7235715309726715E-4</v>
      </c>
      <c r="C55">
        <v>2.5948859579293201E-2</v>
      </c>
      <c r="D55">
        <v>2.6321216732390469E-2</v>
      </c>
    </row>
    <row r="56" spans="1:4">
      <c r="A56">
        <v>54</v>
      </c>
      <c r="B56">
        <v>3.3126654536622243E-4</v>
      </c>
      <c r="C56">
        <v>2.3100576808308019E-2</v>
      </c>
      <c r="D56">
        <v>2.343184335367424E-2</v>
      </c>
    </row>
    <row r="57" spans="1:4">
      <c r="A57">
        <v>55</v>
      </c>
      <c r="B57">
        <v>2.9471079909322486E-4</v>
      </c>
      <c r="C57">
        <v>2.0562759294686251E-2</v>
      </c>
      <c r="D57">
        <v>2.0857470093779477E-2</v>
      </c>
    </row>
    <row r="58" spans="1:4">
      <c r="A58">
        <v>56</v>
      </c>
      <c r="B58">
        <v>2.6218934849626697E-4</v>
      </c>
      <c r="C58">
        <v>1.8302106387279891E-2</v>
      </c>
      <c r="D58">
        <v>1.8564295735776157E-2</v>
      </c>
    </row>
    <row r="59" spans="1:4">
      <c r="A59">
        <v>57</v>
      </c>
      <c r="B59">
        <v>2.3325689849268148E-4</v>
      </c>
      <c r="C59">
        <v>1.6288756998909724E-2</v>
      </c>
      <c r="D59">
        <v>1.6522013897402404E-2</v>
      </c>
    </row>
    <row r="60" spans="1:4">
      <c r="A60">
        <v>58</v>
      </c>
      <c r="B60">
        <v>2.075173189520479E-4</v>
      </c>
      <c r="C60">
        <v>1.4495966502294866E-2</v>
      </c>
      <c r="D60">
        <v>1.4703483821246914E-2</v>
      </c>
    </row>
    <row r="61" spans="1:4">
      <c r="A61">
        <v>59</v>
      </c>
      <c r="B61">
        <v>1.8461821375807488E-4</v>
      </c>
      <c r="C61">
        <v>1.2899806060939002E-2</v>
      </c>
      <c r="D61">
        <v>1.3084424274697077E-2</v>
      </c>
    </row>
    <row r="62" spans="1:4">
      <c r="A62">
        <v>60</v>
      </c>
      <c r="B62">
        <v>1.6424609015232351E-4</v>
      </c>
      <c r="C62">
        <v>1.1478884923683626E-2</v>
      </c>
      <c r="D62">
        <v>1.1643131013835949E-2</v>
      </c>
    </row>
    <row r="63" spans="1:4">
      <c r="A63">
        <v>61</v>
      </c>
      <c r="B63">
        <v>1.4612206201177781E-4</v>
      </c>
      <c r="C63">
        <v>1.021409549570264E-2</v>
      </c>
      <c r="D63">
        <v>1.0360217557714418E-2</v>
      </c>
    </row>
    <row r="64" spans="1:4">
      <c r="A64">
        <v>62</v>
      </c>
      <c r="B64">
        <v>1.2999802801800253E-4</v>
      </c>
      <c r="C64">
        <v>9.0883804986756321E-3</v>
      </c>
      <c r="D64">
        <v>9.2183785266936342E-3</v>
      </c>
    </row>
    <row r="65" spans="1:4">
      <c r="A65">
        <v>63</v>
      </c>
      <c r="B65">
        <v>1.1565327219183206E-4</v>
      </c>
      <c r="C65">
        <v>8.0865211984117828E-3</v>
      </c>
      <c r="D65">
        <v>8.2021744706036147E-3</v>
      </c>
    </row>
    <row r="66" spans="1:4">
      <c r="A66">
        <v>64</v>
      </c>
      <c r="B66">
        <v>1.0289144007344157E-4</v>
      </c>
      <c r="C66">
        <v>7.1949454690774742E-3</v>
      </c>
      <c r="D66">
        <v>7.2978369091509154E-3</v>
      </c>
    </row>
    <row r="67" spans="1:4">
      <c r="A67">
        <v>65</v>
      </c>
      <c r="B67">
        <v>9.1537848996797345E-5</v>
      </c>
      <c r="C67">
        <v>6.4015543475699314E-3</v>
      </c>
      <c r="D67">
        <v>6.4930921965667288E-3</v>
      </c>
    </row>
    <row r="68" spans="1:4">
      <c r="A68">
        <v>66</v>
      </c>
      <c r="B68">
        <v>8.1437095507283275E-5</v>
      </c>
      <c r="C68">
        <v>5.69556568451445E-3</v>
      </c>
      <c r="D68">
        <v>5.7770027800217337E-3</v>
      </c>
    </row>
    <row r="69" spans="1:4">
      <c r="A69">
        <v>67</v>
      </c>
      <c r="B69">
        <v>7.2450927062959276E-5</v>
      </c>
      <c r="C69">
        <v>5.0673735004605012E-3</v>
      </c>
      <c r="D69">
        <v>5.1398244275234605E-3</v>
      </c>
    </row>
    <row r="70" spans="1:4">
      <c r="A70">
        <v>68</v>
      </c>
      <c r="B70">
        <v>6.4456348798711113E-5</v>
      </c>
      <c r="C70">
        <v>4.5084216922145377E-3</v>
      </c>
      <c r="D70">
        <v>4.5728780410132491E-3</v>
      </c>
    </row>
    <row r="71" spans="1:4">
      <c r="A71">
        <v>69</v>
      </c>
      <c r="B71">
        <v>5.7343939368136983E-5</v>
      </c>
      <c r="C71">
        <v>4.0110907935451455E-3</v>
      </c>
      <c r="D71">
        <v>4.0684347329132823E-3</v>
      </c>
    </row>
    <row r="72" spans="1:4">
      <c r="A72">
        <v>70</v>
      </c>
      <c r="B72">
        <v>5.1016352754829423E-5</v>
      </c>
      <c r="C72">
        <v>3.5685965682180406E-3</v>
      </c>
      <c r="D72">
        <v>3.6196129209728699E-3</v>
      </c>
    </row>
    <row r="73" spans="1:4">
      <c r="A73">
        <v>71</v>
      </c>
      <c r="B73">
        <v>4.5386985502451647E-5</v>
      </c>
      <c r="C73">
        <v>3.1748992951589703E-3</v>
      </c>
      <c r="D73">
        <v>3.2202862806614218E-3</v>
      </c>
    </row>
    <row r="74" spans="1:4">
      <c r="A74">
        <v>72</v>
      </c>
      <c r="B74">
        <v>4.0378791087063321E-5</v>
      </c>
      <c r="C74">
        <v>2.8246226909074764E-3</v>
      </c>
      <c r="D74">
        <v>2.8650014819945396E-3</v>
      </c>
    </row>
    <row r="75" spans="1:4">
      <c r="A75">
        <v>73</v>
      </c>
      <c r="B75">
        <v>3.5923225177019082E-5</v>
      </c>
      <c r="C75">
        <v>2.5129815001350242E-3</v>
      </c>
      <c r="D75">
        <v>2.5489047253120433E-3</v>
      </c>
    </row>
    <row r="76" spans="1:4">
      <c r="A76">
        <v>74</v>
      </c>
      <c r="B76">
        <v>3.1959307323487022E-5</v>
      </c>
      <c r="C76">
        <v>2.235716868583162E-3</v>
      </c>
      <c r="D76">
        <v>2.2676761759066492E-3</v>
      </c>
    </row>
    <row r="77" spans="1:4">
      <c r="A77">
        <v>75</v>
      </c>
      <c r="B77">
        <v>2.8432786223121795E-5</v>
      </c>
      <c r="C77">
        <v>1.9890386928120354E-3</v>
      </c>
      <c r="D77">
        <v>2.0174714790351573E-3</v>
      </c>
    </row>
    <row r="78" spans="1:4">
      <c r="A78">
        <v>76</v>
      </c>
      <c r="B78">
        <v>2.5295397115828896E-5</v>
      </c>
      <c r="C78">
        <v>1.7695742166829107E-3</v>
      </c>
      <c r="D78">
        <v>1.7948696137987396E-3</v>
      </c>
    </row>
    <row r="79" spans="1:4">
      <c r="A79">
        <v>77</v>
      </c>
      <c r="B79">
        <v>2.250420114455569E-5</v>
      </c>
      <c r="C79">
        <v>1.5743222149916301E-3</v>
      </c>
      <c r="D79">
        <v>1.5968264161361858E-3</v>
      </c>
    </row>
    <row r="80" spans="1:4">
      <c r="A80">
        <v>78</v>
      </c>
      <c r="B80">
        <v>2.0020997628120415E-5</v>
      </c>
      <c r="C80">
        <v>1.4006121698843961E-3</v>
      </c>
      <c r="D80">
        <v>1.4206331675125166E-3</v>
      </c>
    </row>
    <row r="81" spans="1:4">
      <c r="A81">
        <v>79</v>
      </c>
      <c r="B81">
        <v>1.781180119777888E-5</v>
      </c>
      <c r="C81">
        <v>1.2460679055976175E-3</v>
      </c>
      <c r="D81">
        <v>1.2638797067953964E-3</v>
      </c>
    </row>
    <row r="82" spans="1:4">
      <c r="A82">
        <v>80</v>
      </c>
      <c r="B82">
        <v>1.5846376637333633E-5</v>
      </c>
      <c r="C82">
        <v>1.1085752017917995E-3</v>
      </c>
      <c r="D82">
        <v>1.1244215784291332E-3</v>
      </c>
    </row>
    <row r="83" spans="1:4">
      <c r="A83">
        <v>81</v>
      </c>
      <c r="B83">
        <v>1.4097825057373202E-5</v>
      </c>
      <c r="C83">
        <v>9.8625295551448542E-4</v>
      </c>
      <c r="D83">
        <v>1.0003507805718586E-3</v>
      </c>
    </row>
    <row r="84" spans="1:4">
      <c r="A84">
        <v>82</v>
      </c>
      <c r="B84">
        <v>1.2542215737587016E-5</v>
      </c>
      <c r="C84">
        <v>8.7742750690936655E-4</v>
      </c>
      <c r="D84">
        <v>8.8996972264695356E-4</v>
      </c>
    </row>
    <row r="85" spans="1:4">
      <c r="A85">
        <v>83</v>
      </c>
      <c r="B85">
        <v>1.1158258596722534E-5</v>
      </c>
      <c r="C85">
        <v>7.8060978450241294E-4</v>
      </c>
      <c r="D85">
        <v>7.9176804309913547E-4</v>
      </c>
    </row>
    <row r="86" spans="1:4">
      <c r="A86">
        <v>84</v>
      </c>
      <c r="B86">
        <v>9.9270128062394554E-6</v>
      </c>
      <c r="C86">
        <v>6.944749625703104E-4</v>
      </c>
      <c r="D86">
        <v>7.0440197537654983E-4</v>
      </c>
    </row>
    <row r="87" spans="1:4">
      <c r="A87">
        <v>85</v>
      </c>
      <c r="B87">
        <v>8.8316275587240256E-6</v>
      </c>
      <c r="C87">
        <v>6.1784435606244081E-4</v>
      </c>
      <c r="D87">
        <v>6.2667598362116481E-4</v>
      </c>
    </row>
    <row r="88" spans="1:4">
      <c r="A88">
        <v>86</v>
      </c>
      <c r="B88">
        <v>7.8571114424574041E-6</v>
      </c>
      <c r="C88">
        <v>5.4966930812802377E-4</v>
      </c>
      <c r="D88">
        <v>5.5752641957048114E-4</v>
      </c>
    </row>
    <row r="89" spans="1:4">
      <c r="A89">
        <v>87</v>
      </c>
      <c r="B89">
        <v>6.9901272652312429E-6</v>
      </c>
      <c r="C89">
        <v>4.890168518035938E-4</v>
      </c>
      <c r="D89">
        <v>4.9600697906882504E-4</v>
      </c>
    </row>
    <row r="90" spans="1:4">
      <c r="A90">
        <v>88</v>
      </c>
      <c r="B90">
        <v>6.2188095189479642E-6</v>
      </c>
      <c r="C90">
        <v>4.3505695113385366E-4</v>
      </c>
      <c r="D90">
        <v>4.4127576065280163E-4</v>
      </c>
    </row>
    <row r="91" spans="1:4">
      <c r="A91">
        <v>89</v>
      </c>
      <c r="B91">
        <v>5.5326019865149566E-6</v>
      </c>
      <c r="C91">
        <v>3.8705114820248774E-4</v>
      </c>
      <c r="D91">
        <v>3.9258375018900267E-4</v>
      </c>
    </row>
    <row r="92" spans="1:4">
      <c r="A92">
        <v>90</v>
      </c>
      <c r="B92">
        <v>4.9221132682908077E-6</v>
      </c>
      <c r="C92">
        <v>3.4434246148919232E-4</v>
      </c>
      <c r="D92">
        <v>3.4926457475748315E-4</v>
      </c>
    </row>
    <row r="93" spans="1:4">
      <c r="A93">
        <v>91</v>
      </c>
      <c r="B93">
        <v>4.3789882506492231E-6</v>
      </c>
      <c r="C93">
        <v>3.0634639787486552E-4</v>
      </c>
      <c r="D93">
        <v>3.1072538612551473E-4</v>
      </c>
    </row>
    <row r="94" spans="1:4">
      <c r="A94">
        <v>92</v>
      </c>
      <c r="B94">
        <v>3.895793757455504E-6</v>
      </c>
      <c r="C94">
        <v>2.7254295569827244E-4</v>
      </c>
      <c r="D94">
        <v>2.7643874945572794E-4</v>
      </c>
    </row>
    <row r="95" spans="1:4">
      <c r="A95">
        <v>93</v>
      </c>
      <c r="B95">
        <v>3.4659168193912113E-6</v>
      </c>
      <c r="C95">
        <v>2.4246950971486638E-4</v>
      </c>
      <c r="D95">
        <v>2.4593542653425759E-4</v>
      </c>
    </row>
    <row r="96" spans="1:4">
      <c r="A96">
        <v>94</v>
      </c>
      <c r="B96">
        <v>3.0834741687750064E-6</v>
      </c>
      <c r="C96">
        <v>2.157144807940312E-4</v>
      </c>
      <c r="D96">
        <v>2.1879795496280622E-4</v>
      </c>
    </row>
    <row r="97" spans="1:4">
      <c r="A97">
        <v>95</v>
      </c>
      <c r="B97">
        <v>2.7432317211783098E-6</v>
      </c>
      <c r="C97">
        <v>1.919117038702114E-4</v>
      </c>
      <c r="D97">
        <v>1.946549355913897E-4</v>
      </c>
    </row>
    <row r="98" spans="1:4">
      <c r="A98">
        <v>96</v>
      </c>
      <c r="B98">
        <v>2.440532941827019E-6</v>
      </c>
      <c r="C98">
        <v>1.7073541717593991E-4</v>
      </c>
      <c r="D98">
        <v>1.7317595011776693E-4</v>
      </c>
    </row>
    <row r="99" spans="1:4">
      <c r="A99">
        <v>97</v>
      </c>
      <c r="B99">
        <v>2.1712351163874265E-6</v>
      </c>
      <c r="C99">
        <v>1.5189580425619838E-4</v>
      </c>
      <c r="D99">
        <v>1.5406703937258581E-4</v>
      </c>
    </row>
    <row r="100" spans="1:4">
      <c r="A100">
        <v>98</v>
      </c>
      <c r="B100">
        <v>1.9316526539212171E-6</v>
      </c>
      <c r="C100">
        <v>1.3513502780641601E-4</v>
      </c>
      <c r="D100">
        <v>1.3706668046033722E-4</v>
      </c>
    </row>
    <row r="101" spans="1:4">
      <c r="A101">
        <v>99</v>
      </c>
      <c r="B101">
        <v>1.7185066460418961E-6</v>
      </c>
      <c r="C101">
        <v>1.2022370109143914E-4</v>
      </c>
      <c r="D101">
        <v>1.2194220773748103E-4</v>
      </c>
    </row>
    <row r="102" spans="1:4">
      <c r="A102">
        <v>100</v>
      </c>
      <c r="B102">
        <v>1.528879991931044E-6</v>
      </c>
      <c r="C102">
        <v>1.0695774868009967E-4</v>
      </c>
      <c r="D102">
        <v>1.0848662867203071E-4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_abRint">
                <anchor moveWithCells="1" sizeWithCells="1">
                  <from>
                    <xdr:col>5</xdr:col>
                    <xdr:colOff>213360</xdr:colOff>
                    <xdr:row>5</xdr:row>
                    <xdr:rowOff>137160</xdr:rowOff>
                  </from>
                  <to>
                    <xdr:col>6</xdr:col>
                    <xdr:colOff>579120</xdr:colOff>
                    <xdr:row>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lc_phi">
                <anchor moveWithCells="1" sizeWithCells="1">
                  <from>
                    <xdr:col>4</xdr:col>
                    <xdr:colOff>30480</xdr:colOff>
                    <xdr:row>10</xdr:row>
                    <xdr:rowOff>22860</xdr:rowOff>
                  </from>
                  <to>
                    <xdr:col>4</xdr:col>
                    <xdr:colOff>1089660</xdr:colOff>
                    <xdr:row>11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Q137"/>
  <sheetViews>
    <sheetView workbookViewId="0">
      <selection activeCell="C24" sqref="C24"/>
    </sheetView>
  </sheetViews>
  <sheetFormatPr defaultRowHeight="13.2"/>
  <cols>
    <col min="4" max="4" width="11.33203125" bestFit="1" customWidth="1"/>
    <col min="5" max="5" width="9" bestFit="1" customWidth="1"/>
    <col min="6" max="6" width="10.109375" bestFit="1" customWidth="1"/>
    <col min="7" max="7" width="9" bestFit="1" customWidth="1"/>
    <col min="8" max="8" width="10.109375" bestFit="1" customWidth="1"/>
    <col min="9" max="9" width="9" bestFit="1" customWidth="1"/>
    <col min="10" max="10" width="10.109375" bestFit="1" customWidth="1"/>
    <col min="11" max="11" width="9" bestFit="1" customWidth="1"/>
    <col min="12" max="12" width="10.109375" bestFit="1" customWidth="1"/>
    <col min="13" max="13" width="9" bestFit="1" customWidth="1"/>
    <col min="14" max="14" width="10.109375" bestFit="1" customWidth="1"/>
    <col min="15" max="15" width="9" bestFit="1" customWidth="1"/>
    <col min="16" max="16" width="10.109375" bestFit="1" customWidth="1"/>
    <col min="17" max="17" width="9" bestFit="1" customWidth="1"/>
    <col min="18" max="18" width="10.109375" bestFit="1" customWidth="1"/>
    <col min="19" max="19" width="9" bestFit="1" customWidth="1"/>
    <col min="20" max="20" width="10.109375" bestFit="1" customWidth="1"/>
    <col min="21" max="21" width="9" bestFit="1" customWidth="1"/>
    <col min="22" max="22" width="10.109375" bestFit="1" customWidth="1"/>
    <col min="23" max="23" width="9" bestFit="1" customWidth="1"/>
    <col min="24" max="24" width="10.109375" bestFit="1" customWidth="1"/>
    <col min="25" max="25" width="9" bestFit="1" customWidth="1"/>
    <col min="26" max="26" width="10.109375" bestFit="1" customWidth="1"/>
    <col min="27" max="27" width="9" bestFit="1" customWidth="1"/>
    <col min="28" max="28" width="10.109375" bestFit="1" customWidth="1"/>
    <col min="29" max="29" width="9" bestFit="1" customWidth="1"/>
    <col min="30" max="30" width="10.109375" bestFit="1" customWidth="1"/>
    <col min="31" max="31" width="9" bestFit="1" customWidth="1"/>
    <col min="32" max="32" width="10.109375" bestFit="1" customWidth="1"/>
    <col min="33" max="33" width="9" bestFit="1" customWidth="1"/>
    <col min="34" max="34" width="10.109375" bestFit="1" customWidth="1"/>
    <col min="35" max="35" width="9" bestFit="1" customWidth="1"/>
    <col min="36" max="36" width="10.109375" bestFit="1" customWidth="1"/>
    <col min="37" max="37" width="9" bestFit="1" customWidth="1"/>
    <col min="38" max="38" width="10.109375" bestFit="1" customWidth="1"/>
    <col min="39" max="39" width="9" bestFit="1" customWidth="1"/>
    <col min="40" max="40" width="10.109375" bestFit="1" customWidth="1"/>
    <col min="41" max="41" width="9" bestFit="1" customWidth="1"/>
    <col min="42" max="42" width="10.109375" bestFit="1" customWidth="1"/>
    <col min="43" max="43" width="9" bestFit="1" customWidth="1"/>
    <col min="44" max="44" width="10.109375" bestFit="1" customWidth="1"/>
    <col min="45" max="45" width="9" bestFit="1" customWidth="1"/>
    <col min="46" max="46" width="10.109375" bestFit="1" customWidth="1"/>
    <col min="47" max="47" width="9" bestFit="1" customWidth="1"/>
    <col min="48" max="48" width="10.109375" bestFit="1" customWidth="1"/>
    <col min="49" max="49" width="9" bestFit="1" customWidth="1"/>
    <col min="50" max="50" width="10.109375" bestFit="1" customWidth="1"/>
    <col min="51" max="51" width="9" bestFit="1" customWidth="1"/>
    <col min="52" max="52" width="10.109375" bestFit="1" customWidth="1"/>
    <col min="53" max="53" width="9" bestFit="1" customWidth="1"/>
    <col min="54" max="54" width="10.109375" bestFit="1" customWidth="1"/>
    <col min="55" max="55" width="9" bestFit="1" customWidth="1"/>
    <col min="56" max="56" width="10.109375" bestFit="1" customWidth="1"/>
    <col min="57" max="57" width="9" bestFit="1" customWidth="1"/>
    <col min="58" max="58" width="10.109375" bestFit="1" customWidth="1"/>
    <col min="59" max="59" width="9" bestFit="1" customWidth="1"/>
    <col min="60" max="60" width="10.109375" bestFit="1" customWidth="1"/>
    <col min="61" max="61" width="9" bestFit="1" customWidth="1"/>
    <col min="62" max="62" width="10.109375" bestFit="1" customWidth="1"/>
    <col min="63" max="63" width="9" bestFit="1" customWidth="1"/>
    <col min="64" max="64" width="10.109375" bestFit="1" customWidth="1"/>
    <col min="65" max="65" width="9" bestFit="1" customWidth="1"/>
    <col min="66" max="66" width="10.109375" bestFit="1" customWidth="1"/>
    <col min="67" max="67" width="9" bestFit="1" customWidth="1"/>
    <col min="68" max="68" width="10.109375" bestFit="1" customWidth="1"/>
    <col min="69" max="69" width="9" bestFit="1" customWidth="1"/>
    <col min="70" max="70" width="10.109375" bestFit="1" customWidth="1"/>
    <col min="71" max="71" width="9" bestFit="1" customWidth="1"/>
    <col min="72" max="72" width="10.109375" bestFit="1" customWidth="1"/>
    <col min="73" max="73" width="9" bestFit="1" customWidth="1"/>
    <col min="74" max="74" width="10.109375" bestFit="1" customWidth="1"/>
    <col min="75" max="75" width="9" bestFit="1" customWidth="1"/>
    <col min="76" max="76" width="10.109375" bestFit="1" customWidth="1"/>
    <col min="77" max="77" width="9" bestFit="1" customWidth="1"/>
    <col min="78" max="78" width="10.109375" bestFit="1" customWidth="1"/>
    <col min="79" max="79" width="9" bestFit="1" customWidth="1"/>
    <col min="80" max="80" width="10.109375" bestFit="1" customWidth="1"/>
    <col min="81" max="81" width="9" bestFit="1" customWidth="1"/>
    <col min="82" max="82" width="10.109375" bestFit="1" customWidth="1"/>
    <col min="83" max="83" width="9" bestFit="1" customWidth="1"/>
    <col min="84" max="84" width="10.109375" bestFit="1" customWidth="1"/>
    <col min="85" max="85" width="9" bestFit="1" customWidth="1"/>
    <col min="86" max="86" width="10.109375" bestFit="1" customWidth="1"/>
    <col min="87" max="87" width="9" bestFit="1" customWidth="1"/>
    <col min="88" max="88" width="10.109375" bestFit="1" customWidth="1"/>
    <col min="89" max="89" width="9" bestFit="1" customWidth="1"/>
    <col min="90" max="90" width="10.109375" bestFit="1" customWidth="1"/>
    <col min="91" max="91" width="9" bestFit="1" customWidth="1"/>
    <col min="92" max="92" width="10.109375" bestFit="1" customWidth="1"/>
    <col min="93" max="93" width="9" bestFit="1" customWidth="1"/>
    <col min="94" max="94" width="10.109375" bestFit="1" customWidth="1"/>
    <col min="95" max="95" width="9" bestFit="1" customWidth="1"/>
    <col min="96" max="96" width="10.109375" bestFit="1" customWidth="1"/>
    <col min="97" max="97" width="9" bestFit="1" customWidth="1"/>
    <col min="98" max="98" width="10.109375" bestFit="1" customWidth="1"/>
    <col min="99" max="99" width="9" bestFit="1" customWidth="1"/>
    <col min="100" max="100" width="10.109375" bestFit="1" customWidth="1"/>
    <col min="101" max="101" width="9" bestFit="1" customWidth="1"/>
    <col min="102" max="102" width="10.109375" bestFit="1" customWidth="1"/>
    <col min="103" max="103" width="9" bestFit="1" customWidth="1"/>
    <col min="104" max="104" width="10.109375" bestFit="1" customWidth="1"/>
    <col min="105" max="105" width="9" bestFit="1" customWidth="1"/>
    <col min="106" max="106" width="10.109375" bestFit="1" customWidth="1"/>
    <col min="107" max="107" width="9" bestFit="1" customWidth="1"/>
    <col min="108" max="108" width="10.109375" bestFit="1" customWidth="1"/>
    <col min="109" max="109" width="9" bestFit="1" customWidth="1"/>
    <col min="110" max="110" width="10.109375" bestFit="1" customWidth="1"/>
    <col min="111" max="111" width="9" bestFit="1" customWidth="1"/>
    <col min="112" max="112" width="10.109375" bestFit="1" customWidth="1"/>
    <col min="113" max="113" width="9" bestFit="1" customWidth="1"/>
    <col min="114" max="114" width="10.109375" bestFit="1" customWidth="1"/>
    <col min="115" max="115" width="9" bestFit="1" customWidth="1"/>
    <col min="116" max="116" width="10.109375" bestFit="1" customWidth="1"/>
    <col min="117" max="117" width="9" bestFit="1" customWidth="1"/>
    <col min="118" max="118" width="10.109375" bestFit="1" customWidth="1"/>
    <col min="119" max="119" width="9" bestFit="1" customWidth="1"/>
    <col min="120" max="120" width="10.109375" bestFit="1" customWidth="1"/>
    <col min="121" max="121" width="9" bestFit="1" customWidth="1"/>
    <col min="122" max="122" width="10.109375" bestFit="1" customWidth="1"/>
    <col min="123" max="123" width="9" bestFit="1" customWidth="1"/>
    <col min="124" max="124" width="10.109375" bestFit="1" customWidth="1"/>
    <col min="125" max="125" width="9" bestFit="1" customWidth="1"/>
    <col min="126" max="126" width="10.109375" bestFit="1" customWidth="1"/>
    <col min="127" max="127" width="9" bestFit="1" customWidth="1"/>
    <col min="128" max="128" width="10.109375" bestFit="1" customWidth="1"/>
    <col min="129" max="129" width="9" bestFit="1" customWidth="1"/>
    <col min="130" max="130" width="10.109375" bestFit="1" customWidth="1"/>
    <col min="131" max="131" width="9" bestFit="1" customWidth="1"/>
    <col min="132" max="132" width="10.109375" bestFit="1" customWidth="1"/>
    <col min="133" max="133" width="9" bestFit="1" customWidth="1"/>
    <col min="134" max="134" width="10.109375" bestFit="1" customWidth="1"/>
    <col min="135" max="135" width="9" bestFit="1" customWidth="1"/>
    <col min="136" max="136" width="10.109375" bestFit="1" customWidth="1"/>
    <col min="137" max="137" width="9" bestFit="1" customWidth="1"/>
    <col min="138" max="138" width="10.109375" bestFit="1" customWidth="1"/>
    <col min="139" max="139" width="9" bestFit="1" customWidth="1"/>
    <col min="140" max="140" width="10.109375" bestFit="1" customWidth="1"/>
    <col min="141" max="141" width="9" bestFit="1" customWidth="1"/>
    <col min="142" max="142" width="10.109375" bestFit="1" customWidth="1"/>
    <col min="143" max="143" width="9" bestFit="1" customWidth="1"/>
    <col min="144" max="144" width="10.109375" bestFit="1" customWidth="1"/>
    <col min="145" max="145" width="9" bestFit="1" customWidth="1"/>
    <col min="146" max="146" width="10.109375" bestFit="1" customWidth="1"/>
  </cols>
  <sheetData>
    <row r="1" spans="1:147">
      <c r="C1" t="s">
        <v>28</v>
      </c>
      <c r="D1" s="6" t="e">
        <f>9.04457/SQRT(D2*1000)</f>
        <v>#DIV/0!</v>
      </c>
      <c r="E1" s="7"/>
      <c r="F1" s="6">
        <f t="shared" ref="F1:BP1" si="0">9.04457/SQRT(F2*1000)</f>
        <v>25.491318984956802</v>
      </c>
      <c r="G1" s="6"/>
      <c r="H1" s="6">
        <f t="shared" si="0"/>
        <v>22.718883870058797</v>
      </c>
      <c r="I1" s="6"/>
      <c r="J1" s="6">
        <f t="shared" si="0"/>
        <v>20.248078833834676</v>
      </c>
      <c r="K1" s="6"/>
      <c r="L1" s="6">
        <f t="shared" si="0"/>
        <v>18.046240935853795</v>
      </c>
      <c r="M1" s="6"/>
      <c r="N1" s="6">
        <f t="shared" si="0"/>
        <v>16.083715792251642</v>
      </c>
      <c r="O1" s="6"/>
      <c r="P1" s="6">
        <f t="shared" si="0"/>
        <v>14.334806518834814</v>
      </c>
      <c r="Q1" s="6"/>
      <c r="R1" s="6">
        <f t="shared" si="0"/>
        <v>12.775886897386226</v>
      </c>
      <c r="S1" s="6"/>
      <c r="T1" s="6">
        <f t="shared" si="0"/>
        <v>11.386415050686969</v>
      </c>
      <c r="U1" s="6"/>
      <c r="V1" s="6">
        <f t="shared" si="0"/>
        <v>10.148163174844621</v>
      </c>
      <c r="W1" s="6"/>
      <c r="X1" s="6">
        <f t="shared" si="0"/>
        <v>9.0446152231891741</v>
      </c>
      <c r="Y1" s="6"/>
      <c r="Z1" s="6">
        <f t="shared" si="0"/>
        <v>8.0610628554354982</v>
      </c>
      <c r="AA1" s="6"/>
      <c r="AB1" s="6">
        <f t="shared" si="0"/>
        <v>7.1843418926246674</v>
      </c>
      <c r="AC1" s="6"/>
      <c r="AD1" s="6">
        <f t="shared" si="0"/>
        <v>6.40300473575636</v>
      </c>
      <c r="AE1" s="6"/>
      <c r="AF1" s="6">
        <f t="shared" si="0"/>
        <v>5.7067224561466547</v>
      </c>
      <c r="AG1" s="6"/>
      <c r="AH1" s="6">
        <f t="shared" si="0"/>
        <v>5.0861175142334734</v>
      </c>
      <c r="AI1" s="6"/>
      <c r="AJ1" s="6">
        <f t="shared" si="0"/>
        <v>4.5330638417347382</v>
      </c>
      <c r="AK1" s="6"/>
      <c r="AL1" s="6">
        <f t="shared" si="0"/>
        <v>4.0400901724442368</v>
      </c>
      <c r="AM1" s="6"/>
      <c r="AN1" s="6">
        <f t="shared" si="0"/>
        <v>3.6007005944192403</v>
      </c>
      <c r="AO1" s="6"/>
      <c r="AP1" s="6">
        <f t="shared" si="0"/>
        <v>3.2091309699554555</v>
      </c>
      <c r="AQ1" s="6"/>
      <c r="AR1" s="6">
        <f t="shared" si="0"/>
        <v>2.8601584665109967</v>
      </c>
      <c r="AS1" s="6"/>
      <c r="AT1" s="6">
        <f t="shared" si="0"/>
        <v>2.5491318984956806</v>
      </c>
      <c r="AU1" s="6"/>
      <c r="AV1" s="6">
        <f t="shared" si="0"/>
        <v>2.2718883870058799</v>
      </c>
      <c r="AW1" s="6"/>
      <c r="AX1" s="6">
        <f t="shared" si="0"/>
        <v>2.0248078833834677</v>
      </c>
      <c r="AY1" s="6"/>
      <c r="AZ1" s="6">
        <f t="shared" si="0"/>
        <v>1.8046240935853792</v>
      </c>
      <c r="BA1" s="6"/>
      <c r="BB1" s="6">
        <f t="shared" si="0"/>
        <v>1.6083715792251643</v>
      </c>
      <c r="BC1" s="6"/>
      <c r="BD1" s="6">
        <f t="shared" si="0"/>
        <v>1.4334806518834813</v>
      </c>
      <c r="BE1" s="6"/>
      <c r="BF1" s="6">
        <f t="shared" si="0"/>
        <v>1.2775886897386226</v>
      </c>
      <c r="BG1" s="6"/>
      <c r="BH1" s="6">
        <f t="shared" si="0"/>
        <v>1.1386415050686969</v>
      </c>
      <c r="BI1" s="6"/>
      <c r="BJ1" s="6">
        <f t="shared" si="0"/>
        <v>1.014816317484462</v>
      </c>
      <c r="BK1" s="6"/>
      <c r="BL1" s="6">
        <f t="shared" si="0"/>
        <v>0.90446152231891741</v>
      </c>
      <c r="BM1" s="6"/>
      <c r="BN1" s="6">
        <f t="shared" si="0"/>
        <v>0.80610628554354991</v>
      </c>
      <c r="BO1" s="6"/>
      <c r="BP1" s="6">
        <f t="shared" si="0"/>
        <v>0.71843418926246672</v>
      </c>
      <c r="BQ1" s="6"/>
      <c r="BR1" s="6">
        <f t="shared" ref="BR1:EB1" si="1">9.04457/SQRT(BR2*1000)</f>
        <v>0.64030047357563602</v>
      </c>
      <c r="BS1" s="6"/>
      <c r="BT1" s="6">
        <f t="shared" si="1"/>
        <v>0.57067224561466545</v>
      </c>
      <c r="BU1" s="6"/>
      <c r="BV1" s="6">
        <f t="shared" si="1"/>
        <v>0.50861175142334725</v>
      </c>
      <c r="BW1" s="6"/>
      <c r="BX1" s="6">
        <f t="shared" si="1"/>
        <v>0.45330638417347385</v>
      </c>
      <c r="BY1" s="6"/>
      <c r="BZ1" s="6">
        <f t="shared" si="1"/>
        <v>0.40400901724442373</v>
      </c>
      <c r="CA1" s="6"/>
      <c r="CB1" s="6">
        <f t="shared" si="1"/>
        <v>0.36007005944192405</v>
      </c>
      <c r="CC1" s="6"/>
      <c r="CD1" s="6">
        <f t="shared" si="1"/>
        <v>0.3209130969955456</v>
      </c>
      <c r="CE1" s="6"/>
      <c r="CF1" s="6">
        <f t="shared" si="1"/>
        <v>0.28601584665109964</v>
      </c>
      <c r="CG1" s="6"/>
      <c r="CH1" s="6">
        <f t="shared" si="1"/>
        <v>0.25491318984956807</v>
      </c>
      <c r="CI1" s="6"/>
      <c r="CJ1" s="6">
        <f t="shared" si="1"/>
        <v>0.22718883870058798</v>
      </c>
      <c r="CK1" s="6"/>
      <c r="CL1" s="6">
        <f t="shared" si="1"/>
        <v>0.20248078833834673</v>
      </c>
      <c r="CM1" s="6"/>
      <c r="CN1" s="6">
        <f t="shared" si="1"/>
        <v>0.18046240935853794</v>
      </c>
      <c r="CO1" s="6"/>
      <c r="CP1" s="6">
        <f t="shared" si="1"/>
        <v>0.1608371579225164</v>
      </c>
      <c r="CQ1" s="6"/>
      <c r="CR1" s="6">
        <f t="shared" si="1"/>
        <v>0.14334806518834814</v>
      </c>
      <c r="CS1" s="6"/>
      <c r="CT1" s="6">
        <f t="shared" si="1"/>
        <v>0.12775886897386227</v>
      </c>
      <c r="CU1" s="6"/>
      <c r="CV1" s="6">
        <f t="shared" si="1"/>
        <v>0.1138641505068697</v>
      </c>
      <c r="CW1" s="6"/>
      <c r="CX1" s="6">
        <f t="shared" si="1"/>
        <v>0.1014816317484462</v>
      </c>
      <c r="CY1" s="6"/>
      <c r="CZ1" s="6">
        <f t="shared" si="1"/>
        <v>9.0446152231891744E-2</v>
      </c>
      <c r="DA1" s="6"/>
      <c r="DB1" s="6">
        <f t="shared" si="1"/>
        <v>8.0610628554354982E-2</v>
      </c>
      <c r="DC1" s="6"/>
      <c r="DD1" s="6">
        <f t="shared" si="1"/>
        <v>7.1843418926246669E-2</v>
      </c>
      <c r="DE1" s="6"/>
      <c r="DF1" s="6">
        <f t="shared" si="1"/>
        <v>6.403004735756361E-2</v>
      </c>
      <c r="DG1" s="6"/>
      <c r="DH1" s="6">
        <f t="shared" si="1"/>
        <v>5.7067224561466554E-2</v>
      </c>
      <c r="DI1" s="6"/>
      <c r="DJ1" s="6">
        <f t="shared" si="1"/>
        <v>5.0861175142334729E-2</v>
      </c>
      <c r="DK1" s="6"/>
      <c r="DL1" s="6">
        <f t="shared" si="1"/>
        <v>4.5330638417347385E-2</v>
      </c>
      <c r="DM1" s="6"/>
      <c r="DN1" s="6">
        <f t="shared" si="1"/>
        <v>4.040090172444237E-2</v>
      </c>
      <c r="DO1" s="6"/>
      <c r="DP1" s="6">
        <f t="shared" si="1"/>
        <v>3.6007005944192406E-2</v>
      </c>
      <c r="DQ1" s="6"/>
      <c r="DR1" s="6">
        <f t="shared" si="1"/>
        <v>3.2091309699554559E-2</v>
      </c>
      <c r="DS1" s="6"/>
      <c r="DT1" s="6">
        <f t="shared" si="1"/>
        <v>2.8601584665109966E-2</v>
      </c>
      <c r="DU1" s="6"/>
      <c r="DV1" s="6">
        <f t="shared" si="1"/>
        <v>2.5491318984956806E-2</v>
      </c>
      <c r="DW1" s="6"/>
      <c r="DX1" s="6">
        <f t="shared" si="1"/>
        <v>2.2718883870058798E-2</v>
      </c>
      <c r="DY1" s="6"/>
      <c r="DZ1" s="6">
        <f t="shared" si="1"/>
        <v>2.0248078833834678E-2</v>
      </c>
      <c r="EA1" s="6"/>
      <c r="EB1" s="6">
        <f t="shared" si="1"/>
        <v>1.8046240935853792E-2</v>
      </c>
      <c r="EC1" s="6"/>
      <c r="ED1" s="6">
        <f t="shared" ref="ED1:EP1" si="2">9.04457/SQRT(ED2*1000)</f>
        <v>1.6083715792251641E-2</v>
      </c>
      <c r="EE1" s="6"/>
      <c r="EF1" s="6">
        <f t="shared" si="2"/>
        <v>1.4334806518834812E-2</v>
      </c>
      <c r="EG1" s="6"/>
      <c r="EH1" s="6">
        <f t="shared" si="2"/>
        <v>1.2775886897386226E-2</v>
      </c>
      <c r="EI1" s="6"/>
      <c r="EJ1" s="6">
        <f t="shared" si="2"/>
        <v>1.1386415050686967E-2</v>
      </c>
      <c r="EK1" s="6"/>
      <c r="EL1" s="6">
        <f t="shared" si="2"/>
        <v>1.0148163174844621E-2</v>
      </c>
      <c r="EM1" s="6"/>
      <c r="EN1" s="6">
        <f t="shared" si="2"/>
        <v>9.0446152231891744E-3</v>
      </c>
      <c r="EO1" s="6"/>
      <c r="EP1" s="6">
        <f t="shared" si="2"/>
        <v>7.3897886499991019E-4</v>
      </c>
    </row>
    <row r="2" spans="1:147">
      <c r="A2" s="5"/>
      <c r="B2" s="5"/>
      <c r="C2" s="5"/>
      <c r="D2" s="5"/>
      <c r="E2" s="5" t="s">
        <v>27</v>
      </c>
      <c r="F2" s="5">
        <v>1.2589E-4</v>
      </c>
      <c r="G2" s="5" t="s">
        <v>27</v>
      </c>
      <c r="H2" s="5">
        <v>1.5849000000000001E-4</v>
      </c>
      <c r="I2" s="5" t="s">
        <v>27</v>
      </c>
      <c r="J2" s="5">
        <v>1.9953000000000001E-4</v>
      </c>
      <c r="K2" s="5" t="s">
        <v>27</v>
      </c>
      <c r="L2" s="5">
        <v>2.5118999999999999E-4</v>
      </c>
      <c r="M2" s="5" t="s">
        <v>27</v>
      </c>
      <c r="N2" s="5">
        <v>3.1623000000000003E-4</v>
      </c>
      <c r="O2" s="5" t="s">
        <v>27</v>
      </c>
      <c r="P2" s="5">
        <v>3.9809999999999997E-4</v>
      </c>
      <c r="Q2" s="5" t="s">
        <v>27</v>
      </c>
      <c r="R2" s="5">
        <v>5.0118000000000005E-4</v>
      </c>
      <c r="S2" s="5" t="s">
        <v>27</v>
      </c>
      <c r="T2" s="5">
        <v>6.3095999999999996E-4</v>
      </c>
      <c r="U2" s="5" t="s">
        <v>27</v>
      </c>
      <c r="V2" s="5">
        <v>7.9432999999999999E-4</v>
      </c>
      <c r="W2" s="5" t="s">
        <v>27</v>
      </c>
      <c r="X2" s="5">
        <v>9.9999000000000008E-4</v>
      </c>
      <c r="Y2" s="5" t="s">
        <v>27</v>
      </c>
      <c r="Z2" s="5">
        <v>1.2589000000000001E-3</v>
      </c>
      <c r="AA2" s="5" t="s">
        <v>27</v>
      </c>
      <c r="AB2" s="5">
        <v>1.5849E-3</v>
      </c>
      <c r="AC2" s="5" t="s">
        <v>27</v>
      </c>
      <c r="AD2" s="5">
        <v>1.9953000000000002E-3</v>
      </c>
      <c r="AE2" s="5" t="s">
        <v>27</v>
      </c>
      <c r="AF2" s="5">
        <v>2.5119000000000001E-3</v>
      </c>
      <c r="AG2" s="5" t="s">
        <v>27</v>
      </c>
      <c r="AH2" s="5">
        <v>3.1622999999999998E-3</v>
      </c>
      <c r="AI2" s="5" t="s">
        <v>27</v>
      </c>
      <c r="AJ2" s="5">
        <v>3.9810000000000002E-3</v>
      </c>
      <c r="AK2" s="5" t="s">
        <v>27</v>
      </c>
      <c r="AL2" s="5">
        <v>5.0118000000000003E-3</v>
      </c>
      <c r="AM2" s="5" t="s">
        <v>27</v>
      </c>
      <c r="AN2" s="5">
        <v>6.3096000000000003E-3</v>
      </c>
      <c r="AO2" s="5" t="s">
        <v>27</v>
      </c>
      <c r="AP2" s="5">
        <v>7.9433000000000004E-3</v>
      </c>
      <c r="AQ2" s="5" t="s">
        <v>27</v>
      </c>
      <c r="AR2" s="5">
        <v>9.9999000000000008E-3</v>
      </c>
      <c r="AS2" s="5" t="s">
        <v>27</v>
      </c>
      <c r="AT2" s="5">
        <v>1.2588999999999999E-2</v>
      </c>
      <c r="AU2" s="5" t="s">
        <v>27</v>
      </c>
      <c r="AV2" s="5">
        <v>1.5848999999999999E-2</v>
      </c>
      <c r="AW2" s="5" t="s">
        <v>27</v>
      </c>
      <c r="AX2" s="5">
        <v>1.9952999999999999E-2</v>
      </c>
      <c r="AY2" s="5" t="s">
        <v>27</v>
      </c>
      <c r="AZ2" s="5">
        <v>2.5118999999999999E-2</v>
      </c>
      <c r="BA2" s="5" t="s">
        <v>27</v>
      </c>
      <c r="BB2" s="5">
        <v>3.1622999999999998E-2</v>
      </c>
      <c r="BC2" s="5" t="s">
        <v>27</v>
      </c>
      <c r="BD2" s="5">
        <v>3.9809999999999998E-2</v>
      </c>
      <c r="BE2" s="5" t="s">
        <v>27</v>
      </c>
      <c r="BF2" s="5">
        <v>5.0118000000000003E-2</v>
      </c>
      <c r="BG2" s="5" t="s">
        <v>27</v>
      </c>
      <c r="BH2" s="5">
        <v>6.3095999999999999E-2</v>
      </c>
      <c r="BI2" s="5" t="s">
        <v>27</v>
      </c>
      <c r="BJ2" s="5">
        <v>7.9433000000000004E-2</v>
      </c>
      <c r="BK2" s="5" t="s">
        <v>27</v>
      </c>
      <c r="BL2" s="5">
        <v>9.9999000000000005E-2</v>
      </c>
      <c r="BM2" s="5" t="s">
        <v>27</v>
      </c>
      <c r="BN2" s="5">
        <v>0.12589</v>
      </c>
      <c r="BO2" s="5" t="s">
        <v>27</v>
      </c>
      <c r="BP2" s="5">
        <v>0.15848999999999999</v>
      </c>
      <c r="BQ2" s="5" t="s">
        <v>27</v>
      </c>
      <c r="BR2" s="5">
        <v>0.19953000000000001</v>
      </c>
      <c r="BS2" s="5" t="s">
        <v>27</v>
      </c>
      <c r="BT2" s="5">
        <v>0.25119000000000002</v>
      </c>
      <c r="BU2" s="5" t="s">
        <v>27</v>
      </c>
      <c r="BV2" s="5">
        <v>0.31623000000000001</v>
      </c>
      <c r="BW2" s="5" t="s">
        <v>27</v>
      </c>
      <c r="BX2" s="5">
        <v>0.39810000000000001</v>
      </c>
      <c r="BY2" s="5" t="s">
        <v>27</v>
      </c>
      <c r="BZ2" s="5">
        <v>0.50117999999999996</v>
      </c>
      <c r="CA2" s="5" t="s">
        <v>27</v>
      </c>
      <c r="CB2" s="5">
        <v>0.63095999999999997</v>
      </c>
      <c r="CC2" s="5" t="s">
        <v>27</v>
      </c>
      <c r="CD2" s="5">
        <v>0.79432999999999998</v>
      </c>
      <c r="CE2" s="5" t="s">
        <v>27</v>
      </c>
      <c r="CF2" s="5">
        <v>0.99999000000000005</v>
      </c>
      <c r="CG2" s="5" t="s">
        <v>27</v>
      </c>
      <c r="CH2" s="5">
        <v>1.2588999999999999</v>
      </c>
      <c r="CI2" s="5" t="s">
        <v>27</v>
      </c>
      <c r="CJ2" s="5">
        <v>1.5849</v>
      </c>
      <c r="CK2" s="5" t="s">
        <v>27</v>
      </c>
      <c r="CL2" s="5">
        <v>1.9953000000000001</v>
      </c>
      <c r="CM2" s="5" t="s">
        <v>27</v>
      </c>
      <c r="CN2" s="5">
        <v>2.5118999999999998</v>
      </c>
      <c r="CO2" s="5" t="s">
        <v>27</v>
      </c>
      <c r="CP2" s="5">
        <v>3.1623000000000001</v>
      </c>
      <c r="CQ2" s="5" t="s">
        <v>27</v>
      </c>
      <c r="CR2" s="5">
        <v>3.9809999999999999</v>
      </c>
      <c r="CS2" s="5" t="s">
        <v>27</v>
      </c>
      <c r="CT2" s="5">
        <v>5.0118</v>
      </c>
      <c r="CU2" s="5" t="s">
        <v>27</v>
      </c>
      <c r="CV2" s="5">
        <v>6.3095999999999997</v>
      </c>
      <c r="CW2" s="5" t="s">
        <v>27</v>
      </c>
      <c r="CX2" s="5">
        <v>7.9432999999999998</v>
      </c>
      <c r="CY2" s="5" t="s">
        <v>27</v>
      </c>
      <c r="CZ2" s="5">
        <v>9.9999000000000002</v>
      </c>
      <c r="DA2" s="5" t="s">
        <v>27</v>
      </c>
      <c r="DB2" s="5">
        <v>12.589</v>
      </c>
      <c r="DC2" s="5" t="s">
        <v>27</v>
      </c>
      <c r="DD2" s="5">
        <v>15.849</v>
      </c>
      <c r="DE2" s="5" t="s">
        <v>27</v>
      </c>
      <c r="DF2" s="5">
        <v>19.952999999999999</v>
      </c>
      <c r="DG2" s="5" t="s">
        <v>27</v>
      </c>
      <c r="DH2" s="5">
        <v>25.119</v>
      </c>
      <c r="DI2" s="5" t="s">
        <v>27</v>
      </c>
      <c r="DJ2" s="5">
        <v>31.623000000000001</v>
      </c>
      <c r="DK2" s="5" t="s">
        <v>27</v>
      </c>
      <c r="DL2" s="5">
        <v>39.81</v>
      </c>
      <c r="DM2" s="5" t="s">
        <v>27</v>
      </c>
      <c r="DN2" s="5">
        <v>50.118000000000002</v>
      </c>
      <c r="DO2" s="5" t="s">
        <v>27</v>
      </c>
      <c r="DP2" s="5">
        <v>63.095999999999997</v>
      </c>
      <c r="DQ2" s="5" t="s">
        <v>27</v>
      </c>
      <c r="DR2" s="5">
        <v>79.433000000000007</v>
      </c>
      <c r="DS2" s="5" t="s">
        <v>27</v>
      </c>
      <c r="DT2" s="5">
        <v>99.998999999999995</v>
      </c>
      <c r="DU2" s="5" t="s">
        <v>27</v>
      </c>
      <c r="DV2" s="5">
        <v>125.89</v>
      </c>
      <c r="DW2" s="5" t="s">
        <v>27</v>
      </c>
      <c r="DX2" s="5">
        <v>158.49</v>
      </c>
      <c r="DY2" s="5" t="s">
        <v>27</v>
      </c>
      <c r="DZ2" s="5">
        <v>199.53</v>
      </c>
      <c r="EA2" s="5" t="s">
        <v>27</v>
      </c>
      <c r="EB2" s="5">
        <v>251.19</v>
      </c>
      <c r="EC2" s="5" t="s">
        <v>27</v>
      </c>
      <c r="ED2" s="5">
        <v>316.23</v>
      </c>
      <c r="EE2" s="5" t="s">
        <v>27</v>
      </c>
      <c r="EF2" s="5">
        <v>398.1</v>
      </c>
      <c r="EG2" s="5" t="s">
        <v>27</v>
      </c>
      <c r="EH2" s="5">
        <v>501.18</v>
      </c>
      <c r="EI2" s="5" t="s">
        <v>27</v>
      </c>
      <c r="EJ2" s="5">
        <v>630.96</v>
      </c>
      <c r="EK2" s="5" t="s">
        <v>27</v>
      </c>
      <c r="EL2" s="5">
        <v>794.33</v>
      </c>
      <c r="EM2" s="5" t="s">
        <v>27</v>
      </c>
      <c r="EN2" s="5">
        <v>999.99</v>
      </c>
      <c r="EO2" s="5" t="s">
        <v>27</v>
      </c>
      <c r="EP2" s="5">
        <v>149800</v>
      </c>
      <c r="EQ2" s="5" t="s">
        <v>27</v>
      </c>
    </row>
    <row r="3" spans="1:147">
      <c r="A3" s="5"/>
      <c r="B3" s="5"/>
      <c r="C3" s="5"/>
      <c r="D3" s="5"/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I3" s="5">
        <v>0</v>
      </c>
      <c r="AJ3" s="5">
        <v>0</v>
      </c>
      <c r="AK3" s="5">
        <v>0</v>
      </c>
      <c r="AL3" s="5">
        <v>0</v>
      </c>
      <c r="AM3" s="5">
        <v>0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0</v>
      </c>
      <c r="BA3" s="5">
        <v>0</v>
      </c>
      <c r="BB3" s="5">
        <v>0</v>
      </c>
      <c r="BC3" s="5">
        <v>0</v>
      </c>
      <c r="BD3" s="5">
        <v>0</v>
      </c>
      <c r="BE3" s="5">
        <v>0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5">
        <v>0</v>
      </c>
      <c r="BR3" s="5">
        <v>0</v>
      </c>
      <c r="BS3" s="5">
        <v>0</v>
      </c>
      <c r="BT3" s="5">
        <v>0</v>
      </c>
      <c r="BU3" s="5">
        <v>0</v>
      </c>
      <c r="BV3" s="5">
        <v>0</v>
      </c>
      <c r="BW3" s="5">
        <v>0</v>
      </c>
      <c r="BX3" s="5">
        <v>0</v>
      </c>
      <c r="BY3" s="5">
        <v>0</v>
      </c>
      <c r="BZ3" s="5">
        <v>0</v>
      </c>
      <c r="CA3" s="5">
        <v>0</v>
      </c>
      <c r="CB3" s="5">
        <v>0</v>
      </c>
      <c r="CC3" s="5">
        <v>0</v>
      </c>
      <c r="CD3" s="5">
        <v>0</v>
      </c>
      <c r="CE3" s="5">
        <v>0</v>
      </c>
      <c r="CF3" s="5">
        <v>0</v>
      </c>
      <c r="CG3" s="5">
        <v>0</v>
      </c>
      <c r="CH3" s="5">
        <v>0</v>
      </c>
      <c r="CI3" s="5">
        <v>0</v>
      </c>
      <c r="CJ3" s="5">
        <v>0</v>
      </c>
      <c r="CK3" s="5">
        <v>0</v>
      </c>
      <c r="CL3" s="5">
        <v>0</v>
      </c>
      <c r="CM3" s="5">
        <v>0</v>
      </c>
      <c r="CN3" s="5">
        <v>0</v>
      </c>
      <c r="CO3" s="5">
        <v>0</v>
      </c>
      <c r="CP3" s="5">
        <v>0</v>
      </c>
      <c r="CQ3" s="5">
        <v>0</v>
      </c>
      <c r="CR3" s="5">
        <v>0</v>
      </c>
      <c r="CS3" s="5">
        <v>0</v>
      </c>
      <c r="CT3" s="5">
        <v>0</v>
      </c>
      <c r="CU3" s="5">
        <v>0</v>
      </c>
      <c r="CV3" s="5">
        <v>0</v>
      </c>
      <c r="CW3" s="5">
        <v>0</v>
      </c>
      <c r="CX3" s="5">
        <v>0</v>
      </c>
      <c r="CY3" s="5">
        <v>0</v>
      </c>
      <c r="CZ3" s="5">
        <v>0</v>
      </c>
      <c r="DA3" s="5">
        <v>0</v>
      </c>
      <c r="DB3" s="5">
        <v>0</v>
      </c>
      <c r="DC3" s="5">
        <v>0</v>
      </c>
      <c r="DD3" s="5">
        <v>0</v>
      </c>
      <c r="DE3" s="5">
        <v>0</v>
      </c>
      <c r="DF3" s="5">
        <v>0</v>
      </c>
      <c r="DG3" s="5">
        <v>0</v>
      </c>
      <c r="DH3" s="5">
        <v>0</v>
      </c>
      <c r="DI3" s="5">
        <v>0</v>
      </c>
      <c r="DJ3" s="5">
        <v>0</v>
      </c>
      <c r="DK3" s="5">
        <v>0</v>
      </c>
      <c r="DL3" s="5">
        <v>0</v>
      </c>
      <c r="DM3" s="5">
        <v>0</v>
      </c>
      <c r="DN3" s="5">
        <v>0</v>
      </c>
      <c r="DO3" s="5">
        <v>0</v>
      </c>
      <c r="DP3" s="5">
        <v>0</v>
      </c>
      <c r="DQ3" s="5">
        <v>0</v>
      </c>
      <c r="DR3" s="5">
        <v>0</v>
      </c>
      <c r="DS3" s="5">
        <v>0</v>
      </c>
      <c r="DT3" s="5">
        <v>0</v>
      </c>
      <c r="DU3" s="5">
        <v>0</v>
      </c>
      <c r="DV3" s="5">
        <v>0</v>
      </c>
      <c r="DW3" s="5">
        <v>0</v>
      </c>
      <c r="DX3" s="5">
        <v>0</v>
      </c>
      <c r="DY3" s="5">
        <v>0</v>
      </c>
      <c r="DZ3" s="5">
        <v>0</v>
      </c>
      <c r="EA3" s="5">
        <v>0</v>
      </c>
      <c r="EB3" s="5">
        <v>0</v>
      </c>
      <c r="EC3" s="5">
        <v>0</v>
      </c>
      <c r="ED3" s="5">
        <v>143960000000</v>
      </c>
      <c r="EE3" s="5">
        <v>143960000000</v>
      </c>
      <c r="EF3" s="5">
        <v>0</v>
      </c>
      <c r="EG3" s="5">
        <v>0</v>
      </c>
      <c r="EH3" s="5">
        <v>0</v>
      </c>
      <c r="EI3" s="5">
        <v>0</v>
      </c>
      <c r="EJ3" s="5">
        <v>860380000000</v>
      </c>
      <c r="EK3" s="5">
        <v>860380000000</v>
      </c>
      <c r="EL3" s="5">
        <v>65555000000</v>
      </c>
      <c r="EM3" s="5">
        <v>65555000000</v>
      </c>
      <c r="EN3" s="5">
        <v>0</v>
      </c>
      <c r="EO3" s="5">
        <v>0</v>
      </c>
      <c r="EP3" s="5">
        <v>61940000000</v>
      </c>
      <c r="EQ3" s="5">
        <v>2644800000</v>
      </c>
    </row>
    <row r="4" spans="1:147">
      <c r="A4" s="5"/>
      <c r="B4" s="5"/>
      <c r="C4" s="5"/>
      <c r="D4" s="5"/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0</v>
      </c>
      <c r="BA4" s="5">
        <v>0</v>
      </c>
      <c r="BB4" s="5">
        <v>0</v>
      </c>
      <c r="BC4" s="5">
        <v>0</v>
      </c>
      <c r="BD4" s="5">
        <v>0</v>
      </c>
      <c r="BE4" s="5">
        <v>0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">
        <v>0</v>
      </c>
      <c r="BM4" s="5">
        <v>0</v>
      </c>
      <c r="BN4" s="5">
        <v>0</v>
      </c>
      <c r="BO4" s="5">
        <v>0</v>
      </c>
      <c r="BP4" s="5">
        <v>0</v>
      </c>
      <c r="BQ4" s="5">
        <v>0</v>
      </c>
      <c r="BR4" s="5">
        <v>0</v>
      </c>
      <c r="BS4" s="5">
        <v>0</v>
      </c>
      <c r="BT4" s="5">
        <v>0</v>
      </c>
      <c r="BU4" s="5">
        <v>0</v>
      </c>
      <c r="BV4" s="5">
        <v>0</v>
      </c>
      <c r="BW4" s="5">
        <v>0</v>
      </c>
      <c r="BX4" s="5">
        <v>0</v>
      </c>
      <c r="BY4" s="5">
        <v>0</v>
      </c>
      <c r="BZ4" s="5">
        <v>0</v>
      </c>
      <c r="CA4" s="5">
        <v>0</v>
      </c>
      <c r="CB4" s="5">
        <v>0</v>
      </c>
      <c r="CC4" s="5">
        <v>0</v>
      </c>
      <c r="CD4" s="5">
        <v>0</v>
      </c>
      <c r="CE4" s="5">
        <v>0</v>
      </c>
      <c r="CF4" s="5">
        <v>0</v>
      </c>
      <c r="CG4" s="5">
        <v>0</v>
      </c>
      <c r="CH4" s="5">
        <v>0</v>
      </c>
      <c r="CI4" s="5">
        <v>0</v>
      </c>
      <c r="CJ4" s="5">
        <v>0</v>
      </c>
      <c r="CK4" s="5">
        <v>0</v>
      </c>
      <c r="CL4" s="5">
        <v>0</v>
      </c>
      <c r="CM4" s="5">
        <v>0</v>
      </c>
      <c r="CN4" s="5">
        <v>0</v>
      </c>
      <c r="CO4" s="5">
        <v>0</v>
      </c>
      <c r="CP4" s="5">
        <v>0</v>
      </c>
      <c r="CQ4" s="5">
        <v>0</v>
      </c>
      <c r="CR4" s="5">
        <v>0</v>
      </c>
      <c r="CS4" s="5">
        <v>0</v>
      </c>
      <c r="CT4" s="5">
        <v>0</v>
      </c>
      <c r="CU4" s="5">
        <v>0</v>
      </c>
      <c r="CV4" s="5">
        <v>0</v>
      </c>
      <c r="CW4" s="5">
        <v>0</v>
      </c>
      <c r="CX4" s="5">
        <v>0</v>
      </c>
      <c r="CY4" s="5">
        <v>0</v>
      </c>
      <c r="CZ4" s="5">
        <v>0</v>
      </c>
      <c r="DA4" s="5">
        <v>0</v>
      </c>
      <c r="DB4" s="5">
        <v>0</v>
      </c>
      <c r="DC4" s="5">
        <v>0</v>
      </c>
      <c r="DD4" s="5">
        <v>0</v>
      </c>
      <c r="DE4" s="5">
        <v>0</v>
      </c>
      <c r="DF4" s="5">
        <v>0</v>
      </c>
      <c r="DG4" s="5">
        <v>0</v>
      </c>
      <c r="DH4" s="5">
        <v>0</v>
      </c>
      <c r="DI4" s="5">
        <v>0</v>
      </c>
      <c r="DJ4" s="5">
        <v>0</v>
      </c>
      <c r="DK4" s="5">
        <v>0</v>
      </c>
      <c r="DL4" s="5">
        <v>0</v>
      </c>
      <c r="DM4" s="5">
        <v>0</v>
      </c>
      <c r="DN4" s="5">
        <v>0</v>
      </c>
      <c r="DO4" s="5">
        <v>0</v>
      </c>
      <c r="DP4" s="5">
        <v>0</v>
      </c>
      <c r="DQ4" s="5">
        <v>0</v>
      </c>
      <c r="DR4" s="5">
        <v>0</v>
      </c>
      <c r="DS4" s="5">
        <v>0</v>
      </c>
      <c r="DT4" s="5">
        <v>0</v>
      </c>
      <c r="DU4" s="5">
        <v>0</v>
      </c>
      <c r="DV4" s="5">
        <v>0</v>
      </c>
      <c r="DW4" s="5">
        <v>0</v>
      </c>
      <c r="DX4" s="5">
        <v>0</v>
      </c>
      <c r="DY4" s="5">
        <v>0</v>
      </c>
      <c r="DZ4" s="5">
        <v>0</v>
      </c>
      <c r="EA4" s="5">
        <v>0</v>
      </c>
      <c r="EB4" s="5">
        <v>0</v>
      </c>
      <c r="EC4" s="5">
        <v>0</v>
      </c>
      <c r="ED4" s="5">
        <v>0</v>
      </c>
      <c r="EE4" s="5">
        <v>0</v>
      </c>
      <c r="EF4" s="5">
        <v>0</v>
      </c>
      <c r="EG4" s="5">
        <v>0</v>
      </c>
      <c r="EH4" s="5">
        <v>75501000000</v>
      </c>
      <c r="EI4" s="5">
        <v>75501000000</v>
      </c>
      <c r="EJ4" s="5">
        <v>0</v>
      </c>
      <c r="EK4" s="5">
        <v>0</v>
      </c>
      <c r="EL4" s="5">
        <v>0</v>
      </c>
      <c r="EM4" s="5">
        <v>0</v>
      </c>
      <c r="EN4" s="5">
        <v>0</v>
      </c>
      <c r="EO4" s="5">
        <v>0</v>
      </c>
      <c r="EP4" s="5">
        <v>168130000000</v>
      </c>
      <c r="EQ4" s="5">
        <v>2807800000</v>
      </c>
    </row>
    <row r="5" spans="1:147">
      <c r="A5" s="5"/>
      <c r="B5" s="5"/>
      <c r="C5" s="5"/>
      <c r="D5" s="5"/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">
        <v>0</v>
      </c>
      <c r="BM5" s="5">
        <v>0</v>
      </c>
      <c r="BN5" s="5">
        <v>0</v>
      </c>
      <c r="BO5" s="5">
        <v>0</v>
      </c>
      <c r="BP5" s="5">
        <v>0</v>
      </c>
      <c r="BQ5" s="5">
        <v>0</v>
      </c>
      <c r="BR5" s="5">
        <v>0</v>
      </c>
      <c r="BS5" s="5">
        <v>0</v>
      </c>
      <c r="BT5" s="5">
        <v>0</v>
      </c>
      <c r="BU5" s="5">
        <v>0</v>
      </c>
      <c r="BV5" s="5">
        <v>0</v>
      </c>
      <c r="BW5" s="5">
        <v>0</v>
      </c>
      <c r="BX5" s="5">
        <v>0</v>
      </c>
      <c r="BY5" s="5">
        <v>0</v>
      </c>
      <c r="BZ5" s="5">
        <v>0</v>
      </c>
      <c r="CA5" s="5">
        <v>0</v>
      </c>
      <c r="CB5" s="5">
        <v>0</v>
      </c>
      <c r="CC5" s="5">
        <v>0</v>
      </c>
      <c r="CD5" s="5">
        <v>0</v>
      </c>
      <c r="CE5" s="5">
        <v>0</v>
      </c>
      <c r="CF5" s="5">
        <v>0</v>
      </c>
      <c r="CG5" s="5">
        <v>0</v>
      </c>
      <c r="CH5" s="5">
        <v>0</v>
      </c>
      <c r="CI5" s="5">
        <v>0</v>
      </c>
      <c r="CJ5" s="5">
        <v>0</v>
      </c>
      <c r="CK5" s="5">
        <v>0</v>
      </c>
      <c r="CL5" s="5">
        <v>0</v>
      </c>
      <c r="CM5" s="5">
        <v>0</v>
      </c>
      <c r="CN5" s="5">
        <v>0</v>
      </c>
      <c r="CO5" s="5">
        <v>0</v>
      </c>
      <c r="CP5" s="5">
        <v>0</v>
      </c>
      <c r="CQ5" s="5">
        <v>0</v>
      </c>
      <c r="CR5" s="5">
        <v>0</v>
      </c>
      <c r="CS5" s="5">
        <v>0</v>
      </c>
      <c r="CT5" s="5">
        <v>0</v>
      </c>
      <c r="CU5" s="5">
        <v>0</v>
      </c>
      <c r="CV5" s="5">
        <v>0</v>
      </c>
      <c r="CW5" s="5">
        <v>0</v>
      </c>
      <c r="CX5" s="5">
        <v>0</v>
      </c>
      <c r="CY5" s="5">
        <v>0</v>
      </c>
      <c r="CZ5" s="5">
        <v>0</v>
      </c>
      <c r="DA5" s="5">
        <v>0</v>
      </c>
      <c r="DB5" s="5">
        <v>0</v>
      </c>
      <c r="DC5" s="5">
        <v>0</v>
      </c>
      <c r="DD5" s="5">
        <v>0</v>
      </c>
      <c r="DE5" s="5">
        <v>0</v>
      </c>
      <c r="DF5" s="5">
        <v>0</v>
      </c>
      <c r="DG5" s="5">
        <v>0</v>
      </c>
      <c r="DH5" s="5">
        <v>0</v>
      </c>
      <c r="DI5" s="5">
        <v>0</v>
      </c>
      <c r="DJ5" s="5">
        <v>0</v>
      </c>
      <c r="DK5" s="5">
        <v>0</v>
      </c>
      <c r="DL5" s="5">
        <v>0</v>
      </c>
      <c r="DM5" s="5">
        <v>0</v>
      </c>
      <c r="DN5" s="5">
        <v>0</v>
      </c>
      <c r="DO5" s="5">
        <v>0</v>
      </c>
      <c r="DP5" s="5">
        <v>0</v>
      </c>
      <c r="DQ5" s="5">
        <v>0</v>
      </c>
      <c r="DR5" s="5">
        <v>0</v>
      </c>
      <c r="DS5" s="5">
        <v>0</v>
      </c>
      <c r="DT5" s="5">
        <v>0</v>
      </c>
      <c r="DU5" s="5">
        <v>0</v>
      </c>
      <c r="DV5" s="5">
        <v>0</v>
      </c>
      <c r="DW5" s="5">
        <v>0</v>
      </c>
      <c r="DX5" s="5">
        <v>0</v>
      </c>
      <c r="DY5" s="5">
        <v>0</v>
      </c>
      <c r="DZ5" s="5">
        <v>0</v>
      </c>
      <c r="EA5" s="5">
        <v>0</v>
      </c>
      <c r="EB5" s="5">
        <v>1977500000000</v>
      </c>
      <c r="EC5" s="5">
        <v>1977500000000</v>
      </c>
      <c r="ED5" s="5">
        <v>0</v>
      </c>
      <c r="EE5" s="5">
        <v>0</v>
      </c>
      <c r="EF5" s="5">
        <v>559300000000</v>
      </c>
      <c r="EG5" s="5">
        <v>559300000000</v>
      </c>
      <c r="EH5" s="5">
        <v>90011000000</v>
      </c>
      <c r="EI5" s="5">
        <v>90011000000</v>
      </c>
      <c r="EJ5" s="5">
        <v>0</v>
      </c>
      <c r="EK5" s="5">
        <v>0</v>
      </c>
      <c r="EL5" s="5">
        <v>42442000000</v>
      </c>
      <c r="EM5" s="5">
        <v>42442000000</v>
      </c>
      <c r="EN5" s="5">
        <v>22454000000</v>
      </c>
      <c r="EO5" s="5">
        <v>22454000000</v>
      </c>
      <c r="EP5" s="5">
        <v>278940000000</v>
      </c>
      <c r="EQ5" s="5">
        <v>3542600000</v>
      </c>
    </row>
    <row r="6" spans="1:147">
      <c r="A6" s="5"/>
      <c r="B6" s="5"/>
      <c r="C6" s="5"/>
      <c r="D6" s="5"/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0</v>
      </c>
      <c r="AA6" s="5">
        <v>0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5">
        <v>0</v>
      </c>
      <c r="BS6" s="5">
        <v>0</v>
      </c>
      <c r="BT6" s="5">
        <v>0</v>
      </c>
      <c r="BU6" s="5">
        <v>0</v>
      </c>
      <c r="BV6" s="5">
        <v>0</v>
      </c>
      <c r="BW6" s="5">
        <v>0</v>
      </c>
      <c r="BX6" s="5">
        <v>0</v>
      </c>
      <c r="BY6" s="5">
        <v>0</v>
      </c>
      <c r="BZ6" s="5">
        <v>0</v>
      </c>
      <c r="CA6" s="5">
        <v>0</v>
      </c>
      <c r="CB6" s="5">
        <v>0</v>
      </c>
      <c r="CC6" s="5">
        <v>0</v>
      </c>
      <c r="CD6" s="5">
        <v>0</v>
      </c>
      <c r="CE6" s="5">
        <v>0</v>
      </c>
      <c r="CF6" s="5">
        <v>0</v>
      </c>
      <c r="CG6" s="5">
        <v>0</v>
      </c>
      <c r="CH6" s="5">
        <v>0</v>
      </c>
      <c r="CI6" s="5">
        <v>0</v>
      </c>
      <c r="CJ6" s="5">
        <v>0</v>
      </c>
      <c r="CK6" s="5">
        <v>0</v>
      </c>
      <c r="CL6" s="5">
        <v>0</v>
      </c>
      <c r="CM6" s="5">
        <v>0</v>
      </c>
      <c r="CN6" s="5">
        <v>0</v>
      </c>
      <c r="CO6" s="5">
        <v>0</v>
      </c>
      <c r="CP6" s="5">
        <v>0</v>
      </c>
      <c r="CQ6" s="5">
        <v>0</v>
      </c>
      <c r="CR6" s="5">
        <v>0</v>
      </c>
      <c r="CS6" s="5">
        <v>0</v>
      </c>
      <c r="CT6" s="5">
        <v>0</v>
      </c>
      <c r="CU6" s="5">
        <v>0</v>
      </c>
      <c r="CV6" s="5">
        <v>0</v>
      </c>
      <c r="CW6" s="5">
        <v>0</v>
      </c>
      <c r="CX6" s="5">
        <v>0</v>
      </c>
      <c r="CY6" s="5">
        <v>0</v>
      </c>
      <c r="CZ6" s="5">
        <v>0</v>
      </c>
      <c r="DA6" s="5">
        <v>0</v>
      </c>
      <c r="DB6" s="5">
        <v>0</v>
      </c>
      <c r="DC6" s="5">
        <v>0</v>
      </c>
      <c r="DD6" s="5">
        <v>0</v>
      </c>
      <c r="DE6" s="5">
        <v>0</v>
      </c>
      <c r="DF6" s="5">
        <v>0</v>
      </c>
      <c r="DG6" s="5">
        <v>0</v>
      </c>
      <c r="DH6" s="5">
        <v>0</v>
      </c>
      <c r="DI6" s="5">
        <v>0</v>
      </c>
      <c r="DJ6" s="5">
        <v>0</v>
      </c>
      <c r="DK6" s="5">
        <v>0</v>
      </c>
      <c r="DL6" s="5">
        <v>0</v>
      </c>
      <c r="DM6" s="5">
        <v>0</v>
      </c>
      <c r="DN6" s="5">
        <v>0</v>
      </c>
      <c r="DO6" s="5">
        <v>0</v>
      </c>
      <c r="DP6" s="5">
        <v>0</v>
      </c>
      <c r="DQ6" s="5">
        <v>0</v>
      </c>
      <c r="DR6" s="5">
        <v>0</v>
      </c>
      <c r="DS6" s="5">
        <v>0</v>
      </c>
      <c r="DT6" s="5">
        <v>0</v>
      </c>
      <c r="DU6" s="5">
        <v>0</v>
      </c>
      <c r="DV6" s="5">
        <v>0</v>
      </c>
      <c r="DW6" s="5">
        <v>0</v>
      </c>
      <c r="DX6" s="5">
        <v>0</v>
      </c>
      <c r="DY6" s="5">
        <v>0</v>
      </c>
      <c r="DZ6" s="5">
        <v>0</v>
      </c>
      <c r="EA6" s="5">
        <v>0</v>
      </c>
      <c r="EB6" s="5">
        <v>0</v>
      </c>
      <c r="EC6" s="5">
        <v>0</v>
      </c>
      <c r="ED6" s="5">
        <v>0</v>
      </c>
      <c r="EE6" s="5">
        <v>0</v>
      </c>
      <c r="EF6" s="5">
        <v>763320000000</v>
      </c>
      <c r="EG6" s="5">
        <v>723550000000</v>
      </c>
      <c r="EH6" s="5">
        <v>0</v>
      </c>
      <c r="EI6" s="5">
        <v>0</v>
      </c>
      <c r="EJ6" s="5">
        <v>1146000000000</v>
      </c>
      <c r="EK6" s="5">
        <v>810310000000</v>
      </c>
      <c r="EL6" s="5">
        <v>0</v>
      </c>
      <c r="EM6" s="5">
        <v>0</v>
      </c>
      <c r="EN6" s="5">
        <v>16284000000</v>
      </c>
      <c r="EO6" s="5">
        <v>16284000000</v>
      </c>
      <c r="EP6" s="5">
        <v>323900000000</v>
      </c>
      <c r="EQ6" s="5">
        <v>3627700000</v>
      </c>
    </row>
    <row r="7" spans="1:147">
      <c r="A7" s="5"/>
      <c r="B7" s="5"/>
      <c r="C7" s="5"/>
      <c r="D7" s="5"/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5">
        <v>0</v>
      </c>
      <c r="BR7" s="5">
        <v>0</v>
      </c>
      <c r="BS7" s="5">
        <v>0</v>
      </c>
      <c r="BT7" s="5">
        <v>0</v>
      </c>
      <c r="BU7" s="5">
        <v>0</v>
      </c>
      <c r="BV7" s="5">
        <v>0</v>
      </c>
      <c r="BW7" s="5">
        <v>0</v>
      </c>
      <c r="BX7" s="5">
        <v>0</v>
      </c>
      <c r="BY7" s="5">
        <v>0</v>
      </c>
      <c r="BZ7" s="5">
        <v>0</v>
      </c>
      <c r="CA7" s="5">
        <v>0</v>
      </c>
      <c r="CB7" s="5">
        <v>0</v>
      </c>
      <c r="CC7" s="5">
        <v>0</v>
      </c>
      <c r="CD7" s="5">
        <v>0</v>
      </c>
      <c r="CE7" s="5">
        <v>0</v>
      </c>
      <c r="CF7" s="5">
        <v>0</v>
      </c>
      <c r="CG7" s="5">
        <v>0</v>
      </c>
      <c r="CH7" s="5">
        <v>0</v>
      </c>
      <c r="CI7" s="5">
        <v>0</v>
      </c>
      <c r="CJ7" s="5">
        <v>0</v>
      </c>
      <c r="CK7" s="5">
        <v>0</v>
      </c>
      <c r="CL7" s="5">
        <v>0</v>
      </c>
      <c r="CM7" s="5">
        <v>0</v>
      </c>
      <c r="CN7" s="5">
        <v>0</v>
      </c>
      <c r="CO7" s="5">
        <v>0</v>
      </c>
      <c r="CP7" s="5">
        <v>0</v>
      </c>
      <c r="CQ7" s="5">
        <v>0</v>
      </c>
      <c r="CR7" s="5">
        <v>0</v>
      </c>
      <c r="CS7" s="5">
        <v>0</v>
      </c>
      <c r="CT7" s="5">
        <v>0</v>
      </c>
      <c r="CU7" s="5">
        <v>0</v>
      </c>
      <c r="CV7" s="5">
        <v>0</v>
      </c>
      <c r="CW7" s="5">
        <v>0</v>
      </c>
      <c r="CX7" s="5">
        <v>0</v>
      </c>
      <c r="CY7" s="5">
        <v>0</v>
      </c>
      <c r="CZ7" s="5">
        <v>0</v>
      </c>
      <c r="DA7" s="5">
        <v>0</v>
      </c>
      <c r="DB7" s="5">
        <v>0</v>
      </c>
      <c r="DC7" s="5">
        <v>0</v>
      </c>
      <c r="DD7" s="5">
        <v>0</v>
      </c>
      <c r="DE7" s="5">
        <v>0</v>
      </c>
      <c r="DF7" s="5">
        <v>0</v>
      </c>
      <c r="DG7" s="5">
        <v>0</v>
      </c>
      <c r="DH7" s="5">
        <v>0</v>
      </c>
      <c r="DI7" s="5">
        <v>0</v>
      </c>
      <c r="DJ7" s="5">
        <v>0</v>
      </c>
      <c r="DK7" s="5">
        <v>0</v>
      </c>
      <c r="DL7" s="5">
        <v>362740000000</v>
      </c>
      <c r="DM7" s="5">
        <v>362740000000</v>
      </c>
      <c r="DN7" s="5">
        <v>0</v>
      </c>
      <c r="DO7" s="5">
        <v>0</v>
      </c>
      <c r="DP7" s="5">
        <v>5592000000000</v>
      </c>
      <c r="DQ7" s="5">
        <v>5592000000000</v>
      </c>
      <c r="DR7" s="5">
        <v>385570000000</v>
      </c>
      <c r="DS7" s="5">
        <v>385570000000</v>
      </c>
      <c r="DT7" s="5">
        <v>0</v>
      </c>
      <c r="DU7" s="5">
        <v>0</v>
      </c>
      <c r="DV7" s="5">
        <v>0</v>
      </c>
      <c r="DW7" s="5">
        <v>0</v>
      </c>
      <c r="DX7" s="5">
        <v>0</v>
      </c>
      <c r="DY7" s="5">
        <v>0</v>
      </c>
      <c r="DZ7" s="5">
        <v>2285600000000</v>
      </c>
      <c r="EA7" s="5">
        <v>2285600000000</v>
      </c>
      <c r="EB7" s="5">
        <v>0</v>
      </c>
      <c r="EC7" s="5">
        <v>0</v>
      </c>
      <c r="ED7" s="5">
        <v>0</v>
      </c>
      <c r="EE7" s="5">
        <v>0</v>
      </c>
      <c r="EF7" s="5">
        <v>0</v>
      </c>
      <c r="EG7" s="5">
        <v>0</v>
      </c>
      <c r="EH7" s="5">
        <v>0</v>
      </c>
      <c r="EI7" s="5">
        <v>0</v>
      </c>
      <c r="EJ7" s="5">
        <v>0</v>
      </c>
      <c r="EK7" s="5">
        <v>0</v>
      </c>
      <c r="EL7" s="5">
        <v>308840000000</v>
      </c>
      <c r="EM7" s="5">
        <v>308840000000</v>
      </c>
      <c r="EN7" s="5">
        <v>14485000000</v>
      </c>
      <c r="EO7" s="5">
        <v>14485000000</v>
      </c>
      <c r="EP7" s="5">
        <v>330010000000</v>
      </c>
      <c r="EQ7" s="5">
        <v>3465100000</v>
      </c>
    </row>
    <row r="8" spans="1:147">
      <c r="A8" s="5"/>
      <c r="B8" s="5"/>
      <c r="C8" s="5"/>
      <c r="D8" s="5"/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0</v>
      </c>
      <c r="DD8" s="5">
        <v>7318300000000</v>
      </c>
      <c r="DE8" s="5">
        <v>7318300000000</v>
      </c>
      <c r="DF8" s="5">
        <v>0</v>
      </c>
      <c r="DG8" s="5">
        <v>0</v>
      </c>
      <c r="DH8" s="5">
        <v>1487500000000</v>
      </c>
      <c r="DI8" s="5">
        <v>1487500000000</v>
      </c>
      <c r="DJ8" s="5">
        <v>0</v>
      </c>
      <c r="DK8" s="5">
        <v>0</v>
      </c>
      <c r="DL8" s="5">
        <v>4095500000000</v>
      </c>
      <c r="DM8" s="5">
        <v>4095500000000</v>
      </c>
      <c r="DN8" s="5">
        <v>0</v>
      </c>
      <c r="DO8" s="5">
        <v>0</v>
      </c>
      <c r="DP8" s="5">
        <v>0</v>
      </c>
      <c r="DQ8" s="5">
        <v>0</v>
      </c>
      <c r="DR8" s="5">
        <v>0</v>
      </c>
      <c r="DS8" s="5">
        <v>0</v>
      </c>
      <c r="DT8" s="5">
        <v>0</v>
      </c>
      <c r="DU8" s="5">
        <v>0</v>
      </c>
      <c r="DV8" s="5">
        <v>1095800000000</v>
      </c>
      <c r="DW8" s="5">
        <v>1095800000000</v>
      </c>
      <c r="DX8" s="5">
        <v>0</v>
      </c>
      <c r="DY8" s="5">
        <v>0</v>
      </c>
      <c r="DZ8" s="5">
        <v>0</v>
      </c>
      <c r="EA8" s="5">
        <v>0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351350000000</v>
      </c>
      <c r="EM8" s="5">
        <v>351350000000</v>
      </c>
      <c r="EN8" s="5">
        <v>0</v>
      </c>
      <c r="EO8" s="5">
        <v>0</v>
      </c>
      <c r="EP8" s="5">
        <v>336280000000</v>
      </c>
      <c r="EQ8" s="5">
        <v>3295500000</v>
      </c>
    </row>
    <row r="9" spans="1:147">
      <c r="A9" s="5"/>
      <c r="B9" s="5"/>
      <c r="C9" s="5"/>
      <c r="D9" s="5"/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0</v>
      </c>
      <c r="DD9" s="5">
        <v>0</v>
      </c>
      <c r="DE9" s="5">
        <v>0</v>
      </c>
      <c r="DF9" s="5">
        <v>0</v>
      </c>
      <c r="DG9" s="5">
        <v>0</v>
      </c>
      <c r="DH9" s="5">
        <v>0</v>
      </c>
      <c r="DI9" s="5">
        <v>0</v>
      </c>
      <c r="DJ9" s="5">
        <v>0</v>
      </c>
      <c r="DK9" s="5">
        <v>0</v>
      </c>
      <c r="DL9" s="5">
        <v>0</v>
      </c>
      <c r="DM9" s="5">
        <v>0</v>
      </c>
      <c r="DN9" s="5">
        <v>0</v>
      </c>
      <c r="DO9" s="5">
        <v>0</v>
      </c>
      <c r="DP9" s="5">
        <v>180110000000</v>
      </c>
      <c r="DQ9" s="5">
        <v>180110000000</v>
      </c>
      <c r="DR9" s="5">
        <v>2808300000000</v>
      </c>
      <c r="DS9" s="5">
        <v>2808300000000</v>
      </c>
      <c r="DT9" s="5">
        <v>0</v>
      </c>
      <c r="DU9" s="5">
        <v>0</v>
      </c>
      <c r="DV9" s="5">
        <v>0</v>
      </c>
      <c r="DW9" s="5">
        <v>0</v>
      </c>
      <c r="DX9" s="5">
        <v>0</v>
      </c>
      <c r="DY9" s="5">
        <v>0</v>
      </c>
      <c r="DZ9" s="5">
        <v>56926000000</v>
      </c>
      <c r="EA9" s="5">
        <v>56926000000</v>
      </c>
      <c r="EB9" s="5">
        <v>63282000000</v>
      </c>
      <c r="EC9" s="5">
        <v>63282000000</v>
      </c>
      <c r="ED9" s="5">
        <v>0</v>
      </c>
      <c r="EE9" s="5">
        <v>0</v>
      </c>
      <c r="EF9" s="5">
        <v>43067000000</v>
      </c>
      <c r="EG9" s="5">
        <v>43067000000</v>
      </c>
      <c r="EH9" s="5">
        <v>0</v>
      </c>
      <c r="EI9" s="5">
        <v>0</v>
      </c>
      <c r="EJ9" s="5">
        <v>55460000000</v>
      </c>
      <c r="EK9" s="5">
        <v>55460000000</v>
      </c>
      <c r="EL9" s="5">
        <v>377010000000</v>
      </c>
      <c r="EM9" s="5">
        <v>271480000000</v>
      </c>
      <c r="EN9" s="5">
        <v>132470000000</v>
      </c>
      <c r="EO9" s="5">
        <v>132470000000</v>
      </c>
      <c r="EP9" s="5">
        <v>323050000000</v>
      </c>
      <c r="EQ9" s="5">
        <v>3262800000</v>
      </c>
    </row>
    <row r="10" spans="1:147">
      <c r="A10" s="5"/>
      <c r="B10" s="5"/>
      <c r="C10" s="5"/>
      <c r="D10" s="5"/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5">
        <v>0</v>
      </c>
      <c r="DG10" s="5">
        <v>0</v>
      </c>
      <c r="DH10" s="5">
        <v>0</v>
      </c>
      <c r="DI10" s="5">
        <v>0</v>
      </c>
      <c r="DJ10" s="5">
        <v>0</v>
      </c>
      <c r="DK10" s="5">
        <v>0</v>
      </c>
      <c r="DL10" s="5">
        <v>0</v>
      </c>
      <c r="DM10" s="5">
        <v>0</v>
      </c>
      <c r="DN10" s="5">
        <v>0</v>
      </c>
      <c r="DO10" s="5">
        <v>0</v>
      </c>
      <c r="DP10" s="5">
        <v>0</v>
      </c>
      <c r="DQ10" s="5">
        <v>0</v>
      </c>
      <c r="DR10" s="5">
        <v>0</v>
      </c>
      <c r="DS10" s="5">
        <v>0</v>
      </c>
      <c r="DT10" s="5">
        <v>0</v>
      </c>
      <c r="DU10" s="5">
        <v>0</v>
      </c>
      <c r="DV10" s="5">
        <v>304510000000</v>
      </c>
      <c r="DW10" s="5">
        <v>304510000000</v>
      </c>
      <c r="DX10" s="5">
        <v>63503000000</v>
      </c>
      <c r="DY10" s="5">
        <v>63503000000</v>
      </c>
      <c r="DZ10" s="5">
        <v>0</v>
      </c>
      <c r="EA10" s="5">
        <v>0</v>
      </c>
      <c r="EB10" s="5">
        <v>40123000000</v>
      </c>
      <c r="EC10" s="5">
        <v>40123000000</v>
      </c>
      <c r="ED10" s="5">
        <v>294930000000</v>
      </c>
      <c r="EE10" s="5">
        <v>294930000000</v>
      </c>
      <c r="EF10" s="5">
        <v>0</v>
      </c>
      <c r="EG10" s="5">
        <v>0</v>
      </c>
      <c r="EH10" s="5">
        <v>0</v>
      </c>
      <c r="EI10" s="5">
        <v>0</v>
      </c>
      <c r="EJ10" s="5">
        <v>0</v>
      </c>
      <c r="EK10" s="5">
        <v>0</v>
      </c>
      <c r="EL10" s="5">
        <v>44190000000</v>
      </c>
      <c r="EM10" s="5">
        <v>44190000000</v>
      </c>
      <c r="EN10" s="5">
        <v>81822000000</v>
      </c>
      <c r="EO10" s="5">
        <v>81822000000</v>
      </c>
      <c r="EP10" s="5">
        <v>265830000000</v>
      </c>
      <c r="EQ10" s="5">
        <v>2844300000</v>
      </c>
    </row>
    <row r="11" spans="1:147">
      <c r="A11" s="5"/>
      <c r="B11" s="5"/>
      <c r="C11" s="5"/>
      <c r="D11" s="5"/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5">
        <v>0</v>
      </c>
      <c r="DG11" s="5">
        <v>0</v>
      </c>
      <c r="DH11" s="5">
        <v>0</v>
      </c>
      <c r="DI11" s="5">
        <v>0</v>
      </c>
      <c r="DJ11" s="5">
        <v>0</v>
      </c>
      <c r="DK11" s="5">
        <v>0</v>
      </c>
      <c r="DL11" s="5">
        <v>0</v>
      </c>
      <c r="DM11" s="5">
        <v>0</v>
      </c>
      <c r="DN11" s="5">
        <v>0</v>
      </c>
      <c r="DO11" s="5">
        <v>0</v>
      </c>
      <c r="DP11" s="5">
        <v>0</v>
      </c>
      <c r="DQ11" s="5">
        <v>0</v>
      </c>
      <c r="DR11" s="5">
        <v>0</v>
      </c>
      <c r="DS11" s="5">
        <v>0</v>
      </c>
      <c r="DT11" s="5">
        <v>0</v>
      </c>
      <c r="DU11" s="5">
        <v>0</v>
      </c>
      <c r="DV11" s="5">
        <v>0</v>
      </c>
      <c r="DW11" s="5">
        <v>0</v>
      </c>
      <c r="DX11" s="5">
        <v>767150000000</v>
      </c>
      <c r="DY11" s="5">
        <v>767150000000</v>
      </c>
      <c r="DZ11" s="5">
        <v>52093000000</v>
      </c>
      <c r="EA11" s="5">
        <v>52093000000</v>
      </c>
      <c r="EB11" s="5">
        <v>637090000000</v>
      </c>
      <c r="EC11" s="5">
        <v>637090000000</v>
      </c>
      <c r="ED11" s="5">
        <v>0</v>
      </c>
      <c r="EE11" s="5">
        <v>0</v>
      </c>
      <c r="EF11" s="5">
        <v>0</v>
      </c>
      <c r="EG11" s="5">
        <v>0</v>
      </c>
      <c r="EH11" s="5">
        <v>0</v>
      </c>
      <c r="EI11" s="5">
        <v>0</v>
      </c>
      <c r="EJ11" s="5">
        <v>14283000000</v>
      </c>
      <c r="EK11" s="5">
        <v>14283000000</v>
      </c>
      <c r="EL11" s="5">
        <v>0</v>
      </c>
      <c r="EM11" s="5">
        <v>0</v>
      </c>
      <c r="EN11" s="5">
        <v>0</v>
      </c>
      <c r="EO11" s="5">
        <v>0</v>
      </c>
      <c r="EP11" s="5">
        <v>195700000000</v>
      </c>
      <c r="EQ11" s="5">
        <v>2348500000</v>
      </c>
    </row>
    <row r="12" spans="1:147">
      <c r="A12" s="5"/>
      <c r="B12" s="5"/>
      <c r="C12" s="5"/>
      <c r="D12" s="5"/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5">
        <v>0</v>
      </c>
      <c r="DG12" s="5">
        <v>0</v>
      </c>
      <c r="DH12" s="5">
        <v>0</v>
      </c>
      <c r="DI12" s="5">
        <v>0</v>
      </c>
      <c r="DJ12" s="5">
        <v>0</v>
      </c>
      <c r="DK12" s="5">
        <v>0</v>
      </c>
      <c r="DL12" s="5">
        <v>0</v>
      </c>
      <c r="DM12" s="5">
        <v>0</v>
      </c>
      <c r="DN12" s="5">
        <v>0</v>
      </c>
      <c r="DO12" s="5">
        <v>0</v>
      </c>
      <c r="DP12" s="5">
        <v>0</v>
      </c>
      <c r="DQ12" s="5">
        <v>0</v>
      </c>
      <c r="DR12" s="5">
        <v>0</v>
      </c>
      <c r="DS12" s="5">
        <v>0</v>
      </c>
      <c r="DT12" s="5">
        <v>0</v>
      </c>
      <c r="DU12" s="5">
        <v>0</v>
      </c>
      <c r="DV12" s="5">
        <v>0</v>
      </c>
      <c r="DW12" s="5">
        <v>0</v>
      </c>
      <c r="DX12" s="5">
        <v>0</v>
      </c>
      <c r="DY12" s="5">
        <v>0</v>
      </c>
      <c r="DZ12" s="5">
        <v>0</v>
      </c>
      <c r="EA12" s="5">
        <v>0</v>
      </c>
      <c r="EB12" s="5">
        <v>0</v>
      </c>
      <c r="EC12" s="5">
        <v>0</v>
      </c>
      <c r="ED12" s="5">
        <v>0</v>
      </c>
      <c r="EE12" s="5">
        <v>0</v>
      </c>
      <c r="EF12" s="5">
        <v>0</v>
      </c>
      <c r="EG12" s="5">
        <v>0</v>
      </c>
      <c r="EH12" s="5">
        <v>15815000000</v>
      </c>
      <c r="EI12" s="5">
        <v>15815000000</v>
      </c>
      <c r="EJ12" s="5">
        <v>0</v>
      </c>
      <c r="EK12" s="5">
        <v>0</v>
      </c>
      <c r="EL12" s="5">
        <v>0</v>
      </c>
      <c r="EM12" s="5">
        <v>0</v>
      </c>
      <c r="EN12" s="5">
        <v>202670000000</v>
      </c>
      <c r="EO12" s="5">
        <v>153770000000</v>
      </c>
      <c r="EP12" s="5">
        <v>135260000000</v>
      </c>
      <c r="EQ12" s="5">
        <v>1934200000</v>
      </c>
    </row>
    <row r="13" spans="1:147">
      <c r="A13" s="5"/>
      <c r="B13" s="5"/>
      <c r="C13" s="5"/>
      <c r="D13" s="5"/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561000000000</v>
      </c>
      <c r="DC13" s="5">
        <v>561000000000</v>
      </c>
      <c r="DD13" s="5">
        <v>0</v>
      </c>
      <c r="DE13" s="5">
        <v>0</v>
      </c>
      <c r="DF13" s="5">
        <v>0</v>
      </c>
      <c r="DG13" s="5">
        <v>0</v>
      </c>
      <c r="DH13" s="5">
        <v>0</v>
      </c>
      <c r="DI13" s="5">
        <v>0</v>
      </c>
      <c r="DJ13" s="5">
        <v>0</v>
      </c>
      <c r="DK13" s="5">
        <v>0</v>
      </c>
      <c r="DL13" s="5">
        <v>0</v>
      </c>
      <c r="DM13" s="5">
        <v>0</v>
      </c>
      <c r="DN13" s="5">
        <v>0</v>
      </c>
      <c r="DO13" s="5">
        <v>0</v>
      </c>
      <c r="DP13" s="5">
        <v>1067900000000</v>
      </c>
      <c r="DQ13" s="5">
        <v>1067900000000</v>
      </c>
      <c r="DR13" s="5">
        <v>0</v>
      </c>
      <c r="DS13" s="5">
        <v>0</v>
      </c>
      <c r="DT13" s="5">
        <v>70582000000</v>
      </c>
      <c r="DU13" s="5">
        <v>70582000000</v>
      </c>
      <c r="DV13" s="5">
        <v>56066000000</v>
      </c>
      <c r="DW13" s="5">
        <v>56066000000</v>
      </c>
      <c r="DX13" s="5">
        <v>101240000000</v>
      </c>
      <c r="DY13" s="5">
        <v>101240000000</v>
      </c>
      <c r="DZ13" s="5">
        <v>0</v>
      </c>
      <c r="EA13" s="5">
        <v>0</v>
      </c>
      <c r="EB13" s="5">
        <v>0</v>
      </c>
      <c r="EC13" s="5">
        <v>0</v>
      </c>
      <c r="ED13" s="5">
        <v>22241000000</v>
      </c>
      <c r="EE13" s="5">
        <v>22241000000</v>
      </c>
      <c r="EF13" s="5">
        <v>1109700000000</v>
      </c>
      <c r="EG13" s="5">
        <v>847840000000</v>
      </c>
      <c r="EH13" s="5">
        <v>0</v>
      </c>
      <c r="EI13" s="5">
        <v>0</v>
      </c>
      <c r="EJ13" s="5">
        <v>203200000000</v>
      </c>
      <c r="EK13" s="5">
        <v>203200000000</v>
      </c>
      <c r="EL13" s="5">
        <v>8848400000</v>
      </c>
      <c r="EM13" s="5">
        <v>8848400000</v>
      </c>
      <c r="EN13" s="5">
        <v>0</v>
      </c>
      <c r="EO13" s="5">
        <v>0</v>
      </c>
      <c r="EP13" s="5">
        <v>96143000000</v>
      </c>
      <c r="EQ13" s="5">
        <v>1557500000</v>
      </c>
    </row>
    <row r="14" spans="1:147">
      <c r="A14" s="5"/>
      <c r="B14" s="5"/>
      <c r="C14" s="5"/>
      <c r="D14" s="5"/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15571000000000</v>
      </c>
      <c r="DA14" s="5">
        <v>15571000000000</v>
      </c>
      <c r="DB14" s="5">
        <v>0</v>
      </c>
      <c r="DC14" s="5">
        <v>0</v>
      </c>
      <c r="DD14" s="5">
        <v>0</v>
      </c>
      <c r="DE14" s="5">
        <v>0</v>
      </c>
      <c r="DF14" s="5">
        <v>1272800000000</v>
      </c>
      <c r="DG14" s="5">
        <v>1272800000000</v>
      </c>
      <c r="DH14" s="5">
        <v>0</v>
      </c>
      <c r="DI14" s="5">
        <v>0</v>
      </c>
      <c r="DJ14" s="5">
        <v>0</v>
      </c>
      <c r="DK14" s="5">
        <v>0</v>
      </c>
      <c r="DL14" s="5">
        <v>0</v>
      </c>
      <c r="DM14" s="5">
        <v>0</v>
      </c>
      <c r="DN14" s="5">
        <v>0</v>
      </c>
      <c r="DO14" s="5">
        <v>0</v>
      </c>
      <c r="DP14" s="5">
        <v>0</v>
      </c>
      <c r="DQ14" s="5">
        <v>0</v>
      </c>
      <c r="DR14" s="5">
        <v>0</v>
      </c>
      <c r="DS14" s="5">
        <v>0</v>
      </c>
      <c r="DT14" s="5">
        <v>0</v>
      </c>
      <c r="DU14" s="5">
        <v>0</v>
      </c>
      <c r="DV14" s="5">
        <v>917710000000</v>
      </c>
      <c r="DW14" s="5">
        <v>917710000000</v>
      </c>
      <c r="DX14" s="5">
        <v>83325000000</v>
      </c>
      <c r="DY14" s="5">
        <v>83325000000</v>
      </c>
      <c r="DZ14" s="5">
        <v>0</v>
      </c>
      <c r="EA14" s="5">
        <v>0</v>
      </c>
      <c r="EB14" s="5">
        <v>24838000000</v>
      </c>
      <c r="EC14" s="5">
        <v>24838000000</v>
      </c>
      <c r="ED14" s="5">
        <v>0</v>
      </c>
      <c r="EE14" s="5">
        <v>0</v>
      </c>
      <c r="EF14" s="5">
        <v>0</v>
      </c>
      <c r="EG14" s="5">
        <v>0</v>
      </c>
      <c r="EH14" s="5">
        <v>175700000000</v>
      </c>
      <c r="EI14" s="5">
        <v>175700000000</v>
      </c>
      <c r="EJ14" s="5">
        <v>214450000000</v>
      </c>
      <c r="EK14" s="5">
        <v>214450000000</v>
      </c>
      <c r="EL14" s="5">
        <v>0</v>
      </c>
      <c r="EM14" s="5">
        <v>0</v>
      </c>
      <c r="EN14" s="5">
        <v>33183000000</v>
      </c>
      <c r="EO14" s="5">
        <v>33183000000</v>
      </c>
      <c r="EP14" s="5">
        <v>70694000000</v>
      </c>
      <c r="EQ14" s="5">
        <v>1251300000</v>
      </c>
    </row>
    <row r="15" spans="1:147">
      <c r="A15" s="5"/>
      <c r="B15" s="5"/>
      <c r="C15" s="5"/>
      <c r="D15" s="5"/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5">
        <v>0</v>
      </c>
      <c r="DG15" s="5">
        <v>0</v>
      </c>
      <c r="DH15" s="5">
        <v>6558500000000</v>
      </c>
      <c r="DI15" s="5">
        <v>6558500000000</v>
      </c>
      <c r="DJ15" s="5">
        <v>0</v>
      </c>
      <c r="DK15" s="5">
        <v>0</v>
      </c>
      <c r="DL15" s="5">
        <v>0</v>
      </c>
      <c r="DM15" s="5">
        <v>0</v>
      </c>
      <c r="DN15" s="5">
        <v>0</v>
      </c>
      <c r="DO15" s="5">
        <v>0</v>
      </c>
      <c r="DP15" s="5">
        <v>0</v>
      </c>
      <c r="DQ15" s="5">
        <v>0</v>
      </c>
      <c r="DR15" s="5">
        <v>534590000000</v>
      </c>
      <c r="DS15" s="5">
        <v>534590000000</v>
      </c>
      <c r="DT15" s="5">
        <v>1540900000000</v>
      </c>
      <c r="DU15" s="5">
        <v>1540900000000</v>
      </c>
      <c r="DV15" s="5">
        <v>0</v>
      </c>
      <c r="DW15" s="5">
        <v>0</v>
      </c>
      <c r="DX15" s="5">
        <v>0</v>
      </c>
      <c r="DY15" s="5">
        <v>0</v>
      </c>
      <c r="DZ15" s="5">
        <v>0</v>
      </c>
      <c r="EA15" s="5">
        <v>0</v>
      </c>
      <c r="EB15" s="5">
        <v>69568000000</v>
      </c>
      <c r="EC15" s="5">
        <v>69568000000</v>
      </c>
      <c r="ED15" s="5">
        <v>0</v>
      </c>
      <c r="EE15" s="5">
        <v>0</v>
      </c>
      <c r="EF15" s="5">
        <v>114610000000</v>
      </c>
      <c r="EG15" s="5">
        <v>82245000000</v>
      </c>
      <c r="EH15" s="5">
        <v>0</v>
      </c>
      <c r="EI15" s="5">
        <v>0</v>
      </c>
      <c r="EJ15" s="5">
        <v>452290000000</v>
      </c>
      <c r="EK15" s="5">
        <v>328410000000</v>
      </c>
      <c r="EL15" s="5">
        <v>150610000000</v>
      </c>
      <c r="EM15" s="5">
        <v>111290000000</v>
      </c>
      <c r="EN15" s="5">
        <v>176520000000</v>
      </c>
      <c r="EO15" s="5">
        <v>176520000000</v>
      </c>
      <c r="EP15" s="5">
        <v>59952000000</v>
      </c>
      <c r="EQ15" s="5">
        <v>1115100000</v>
      </c>
    </row>
    <row r="16" spans="1:147">
      <c r="A16" s="5"/>
      <c r="B16" s="5"/>
      <c r="C16" s="5"/>
      <c r="D16" s="5"/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607530000000</v>
      </c>
      <c r="DE16" s="5">
        <v>607530000000</v>
      </c>
      <c r="DF16" s="5">
        <v>0</v>
      </c>
      <c r="DG16" s="5">
        <v>0</v>
      </c>
      <c r="DH16" s="5">
        <v>0</v>
      </c>
      <c r="DI16" s="5">
        <v>0</v>
      </c>
      <c r="DJ16" s="5">
        <v>990770000000</v>
      </c>
      <c r="DK16" s="5">
        <v>990770000000</v>
      </c>
      <c r="DL16" s="5">
        <v>314410000000</v>
      </c>
      <c r="DM16" s="5">
        <v>314410000000</v>
      </c>
      <c r="DN16" s="5">
        <v>215540000000</v>
      </c>
      <c r="DO16" s="5">
        <v>215540000000</v>
      </c>
      <c r="DP16" s="5">
        <v>0</v>
      </c>
      <c r="DQ16" s="5">
        <v>0</v>
      </c>
      <c r="DR16" s="5">
        <v>0</v>
      </c>
      <c r="DS16" s="5">
        <v>0</v>
      </c>
      <c r="DT16" s="5">
        <v>0</v>
      </c>
      <c r="DU16" s="5">
        <v>0</v>
      </c>
      <c r="DV16" s="5">
        <v>199320000000</v>
      </c>
      <c r="DW16" s="5">
        <v>199320000000</v>
      </c>
      <c r="DX16" s="5">
        <v>132270000000</v>
      </c>
      <c r="DY16" s="5">
        <v>105940000000</v>
      </c>
      <c r="DZ16" s="5">
        <v>554930000000</v>
      </c>
      <c r="EA16" s="5">
        <v>554930000000</v>
      </c>
      <c r="EB16" s="5">
        <v>0</v>
      </c>
      <c r="EC16" s="5">
        <v>0</v>
      </c>
      <c r="ED16" s="5">
        <v>0</v>
      </c>
      <c r="EE16" s="5">
        <v>0</v>
      </c>
      <c r="EF16" s="5">
        <v>30285000000</v>
      </c>
      <c r="EG16" s="5">
        <v>21781000000</v>
      </c>
      <c r="EH16" s="5">
        <v>0</v>
      </c>
      <c r="EI16" s="5">
        <v>0</v>
      </c>
      <c r="EJ16" s="5">
        <v>295660000000</v>
      </c>
      <c r="EK16" s="5">
        <v>196140000000</v>
      </c>
      <c r="EL16" s="5">
        <v>62544000000</v>
      </c>
      <c r="EM16" s="5">
        <v>62544000000</v>
      </c>
      <c r="EN16" s="5">
        <v>121100000000</v>
      </c>
      <c r="EO16" s="5">
        <v>87216000000</v>
      </c>
      <c r="EP16" s="5">
        <v>51107000000</v>
      </c>
      <c r="EQ16" s="5">
        <v>914820000</v>
      </c>
    </row>
    <row r="17" spans="1:147">
      <c r="A17" s="5"/>
      <c r="B17" s="5"/>
      <c r="C17" s="5"/>
      <c r="D17" s="5"/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5">
        <v>0</v>
      </c>
      <c r="DG17" s="5">
        <v>0</v>
      </c>
      <c r="DH17" s="5">
        <v>0</v>
      </c>
      <c r="DI17" s="5">
        <v>0</v>
      </c>
      <c r="DJ17" s="5">
        <v>2762100000000</v>
      </c>
      <c r="DK17" s="5">
        <v>2762100000000</v>
      </c>
      <c r="DL17" s="5">
        <v>0</v>
      </c>
      <c r="DM17" s="5">
        <v>0</v>
      </c>
      <c r="DN17" s="5">
        <v>0</v>
      </c>
      <c r="DO17" s="5">
        <v>0</v>
      </c>
      <c r="DP17" s="5">
        <v>69201000000</v>
      </c>
      <c r="DQ17" s="5">
        <v>69201000000</v>
      </c>
      <c r="DR17" s="5">
        <v>0</v>
      </c>
      <c r="DS17" s="5">
        <v>0</v>
      </c>
      <c r="DT17" s="5">
        <v>0</v>
      </c>
      <c r="DU17" s="5">
        <v>0</v>
      </c>
      <c r="DV17" s="5">
        <v>1054300000000</v>
      </c>
      <c r="DW17" s="5">
        <v>750560000000</v>
      </c>
      <c r="DX17" s="5">
        <v>0</v>
      </c>
      <c r="DY17" s="5">
        <v>0</v>
      </c>
      <c r="DZ17" s="5">
        <v>0</v>
      </c>
      <c r="EA17" s="5">
        <v>0</v>
      </c>
      <c r="EB17" s="5">
        <v>0</v>
      </c>
      <c r="EC17" s="5">
        <v>0</v>
      </c>
      <c r="ED17" s="5">
        <v>92800000000</v>
      </c>
      <c r="EE17" s="5">
        <v>73720000000</v>
      </c>
      <c r="EF17" s="5">
        <v>0</v>
      </c>
      <c r="EG17" s="5">
        <v>0</v>
      </c>
      <c r="EH17" s="5">
        <v>0</v>
      </c>
      <c r="EI17" s="5">
        <v>0</v>
      </c>
      <c r="EJ17" s="5">
        <v>6929100000</v>
      </c>
      <c r="EK17" s="5">
        <v>6929100000</v>
      </c>
      <c r="EL17" s="5">
        <v>40074000000</v>
      </c>
      <c r="EM17" s="5">
        <v>40074000000</v>
      </c>
      <c r="EN17" s="5">
        <v>151770000000</v>
      </c>
      <c r="EO17" s="5">
        <v>145740000000</v>
      </c>
      <c r="EP17" s="5">
        <v>47728000000</v>
      </c>
      <c r="EQ17" s="5">
        <v>754100000</v>
      </c>
    </row>
    <row r="18" spans="1:147">
      <c r="A18" s="5"/>
      <c r="B18" s="5"/>
      <c r="C18" s="5"/>
      <c r="D18" s="5"/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5">
        <v>2137600000000</v>
      </c>
      <c r="DG18" s="5">
        <v>2137600000000</v>
      </c>
      <c r="DH18" s="5">
        <v>387910000000</v>
      </c>
      <c r="DI18" s="5">
        <v>387910000000</v>
      </c>
      <c r="DJ18" s="5">
        <v>0</v>
      </c>
      <c r="DK18" s="5">
        <v>0</v>
      </c>
      <c r="DL18" s="5">
        <v>981260000000</v>
      </c>
      <c r="DM18" s="5">
        <v>981260000000</v>
      </c>
      <c r="DN18" s="5">
        <v>0</v>
      </c>
      <c r="DO18" s="5">
        <v>0</v>
      </c>
      <c r="DP18" s="5">
        <v>0</v>
      </c>
      <c r="DQ18" s="5">
        <v>0</v>
      </c>
      <c r="DR18" s="5">
        <v>0</v>
      </c>
      <c r="DS18" s="5">
        <v>0</v>
      </c>
      <c r="DT18" s="5">
        <v>100800000000</v>
      </c>
      <c r="DU18" s="5">
        <v>100800000000</v>
      </c>
      <c r="DV18" s="5">
        <v>0</v>
      </c>
      <c r="DW18" s="5">
        <v>0</v>
      </c>
      <c r="DX18" s="5">
        <v>0</v>
      </c>
      <c r="DY18" s="5">
        <v>0</v>
      </c>
      <c r="DZ18" s="5">
        <v>0</v>
      </c>
      <c r="EA18" s="5">
        <v>0</v>
      </c>
      <c r="EB18" s="5">
        <v>352690000000</v>
      </c>
      <c r="EC18" s="5">
        <v>332940000000</v>
      </c>
      <c r="ED18" s="5">
        <v>163290000000</v>
      </c>
      <c r="EE18" s="5">
        <v>163290000000</v>
      </c>
      <c r="EF18" s="5">
        <v>137960000000</v>
      </c>
      <c r="EG18" s="5">
        <v>119100000000</v>
      </c>
      <c r="EH18" s="5">
        <v>272900000000</v>
      </c>
      <c r="EI18" s="5">
        <v>195370000000</v>
      </c>
      <c r="EJ18" s="5">
        <v>45177000000</v>
      </c>
      <c r="EK18" s="5">
        <v>45177000000</v>
      </c>
      <c r="EL18" s="5">
        <v>277080000000</v>
      </c>
      <c r="EM18" s="5">
        <v>256350000000</v>
      </c>
      <c r="EN18" s="5">
        <v>0</v>
      </c>
      <c r="EO18" s="5">
        <v>0</v>
      </c>
      <c r="EP18" s="5">
        <v>47886000000</v>
      </c>
      <c r="EQ18" s="5">
        <v>670410000</v>
      </c>
    </row>
    <row r="19" spans="1:147">
      <c r="A19" s="5"/>
      <c r="B19" s="5"/>
      <c r="C19" s="5"/>
      <c r="D19" s="5"/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343260000000</v>
      </c>
      <c r="DA19" s="5">
        <v>343260000000</v>
      </c>
      <c r="DB19" s="5">
        <v>734960000000</v>
      </c>
      <c r="DC19" s="5">
        <v>734960000000</v>
      </c>
      <c r="DD19" s="5">
        <v>0</v>
      </c>
      <c r="DE19" s="5">
        <v>0</v>
      </c>
      <c r="DF19" s="5">
        <v>7118400000000</v>
      </c>
      <c r="DG19" s="5">
        <v>7118400000000</v>
      </c>
      <c r="DH19" s="5">
        <v>0</v>
      </c>
      <c r="DI19" s="5">
        <v>0</v>
      </c>
      <c r="DJ19" s="5">
        <v>0</v>
      </c>
      <c r="DK19" s="5">
        <v>0</v>
      </c>
      <c r="DL19" s="5">
        <v>0</v>
      </c>
      <c r="DM19" s="5">
        <v>0</v>
      </c>
      <c r="DN19" s="5">
        <v>0</v>
      </c>
      <c r="DO19" s="5">
        <v>0</v>
      </c>
      <c r="DP19" s="5">
        <v>0</v>
      </c>
      <c r="DQ19" s="5">
        <v>0</v>
      </c>
      <c r="DR19" s="5">
        <v>0</v>
      </c>
      <c r="DS19" s="5">
        <v>0</v>
      </c>
      <c r="DT19" s="5">
        <v>377570000000</v>
      </c>
      <c r="DU19" s="5">
        <v>377570000000</v>
      </c>
      <c r="DV19" s="5">
        <v>39172000000</v>
      </c>
      <c r="DW19" s="5">
        <v>39172000000</v>
      </c>
      <c r="DX19" s="5">
        <v>302340000000</v>
      </c>
      <c r="DY19" s="5">
        <v>240390000000</v>
      </c>
      <c r="DZ19" s="5">
        <v>350730000000</v>
      </c>
      <c r="EA19" s="5">
        <v>350730000000</v>
      </c>
      <c r="EB19" s="5">
        <v>0</v>
      </c>
      <c r="EC19" s="5">
        <v>0</v>
      </c>
      <c r="ED19" s="5">
        <v>116160000000</v>
      </c>
      <c r="EE19" s="5">
        <v>95718000000</v>
      </c>
      <c r="EF19" s="5">
        <v>0</v>
      </c>
      <c r="EG19" s="5">
        <v>0</v>
      </c>
      <c r="EH19" s="5">
        <v>0</v>
      </c>
      <c r="EI19" s="5">
        <v>0</v>
      </c>
      <c r="EJ19" s="5">
        <v>32973000000</v>
      </c>
      <c r="EK19" s="5">
        <v>25933000000</v>
      </c>
      <c r="EL19" s="5">
        <v>0</v>
      </c>
      <c r="EM19" s="5">
        <v>0</v>
      </c>
      <c r="EN19" s="5">
        <v>13258000000</v>
      </c>
      <c r="EO19" s="5">
        <v>10411000000</v>
      </c>
      <c r="EP19" s="5">
        <v>49385000000</v>
      </c>
      <c r="EQ19" s="5">
        <v>617320000</v>
      </c>
    </row>
    <row r="20" spans="1:147">
      <c r="A20" s="5"/>
      <c r="B20" s="5"/>
      <c r="C20" s="5"/>
      <c r="D20" s="5"/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16501000000000</v>
      </c>
      <c r="CQ20" s="5">
        <v>16501000000000</v>
      </c>
      <c r="CR20" s="5">
        <v>0</v>
      </c>
      <c r="CS20" s="5">
        <v>0</v>
      </c>
      <c r="CT20" s="5">
        <v>0</v>
      </c>
      <c r="CU20" s="5">
        <v>0</v>
      </c>
      <c r="CV20" s="5">
        <v>14296000000000</v>
      </c>
      <c r="CW20" s="5">
        <v>14296000000000</v>
      </c>
      <c r="CX20" s="5">
        <v>0</v>
      </c>
      <c r="CY20" s="5">
        <v>0</v>
      </c>
      <c r="CZ20" s="5">
        <v>0</v>
      </c>
      <c r="DA20" s="5">
        <v>0</v>
      </c>
      <c r="DB20" s="5">
        <v>250530000000</v>
      </c>
      <c r="DC20" s="5">
        <v>250530000000</v>
      </c>
      <c r="DD20" s="5">
        <v>0</v>
      </c>
      <c r="DE20" s="5">
        <v>0</v>
      </c>
      <c r="DF20" s="5">
        <v>1629900000000</v>
      </c>
      <c r="DG20" s="5">
        <v>1629900000000</v>
      </c>
      <c r="DH20" s="5">
        <v>0</v>
      </c>
      <c r="DI20" s="5">
        <v>0</v>
      </c>
      <c r="DJ20" s="5">
        <v>0</v>
      </c>
      <c r="DK20" s="5">
        <v>0</v>
      </c>
      <c r="DL20" s="5">
        <v>0</v>
      </c>
      <c r="DM20" s="5">
        <v>0</v>
      </c>
      <c r="DN20" s="5">
        <v>81746000000</v>
      </c>
      <c r="DO20" s="5">
        <v>81746000000</v>
      </c>
      <c r="DP20" s="5">
        <v>0</v>
      </c>
      <c r="DQ20" s="5">
        <v>0</v>
      </c>
      <c r="DR20" s="5">
        <v>38246000000</v>
      </c>
      <c r="DS20" s="5">
        <v>38246000000</v>
      </c>
      <c r="DT20" s="5">
        <v>768350000000</v>
      </c>
      <c r="DU20" s="5">
        <v>549220000000</v>
      </c>
      <c r="DV20" s="5">
        <v>0</v>
      </c>
      <c r="DW20" s="5">
        <v>0</v>
      </c>
      <c r="DX20" s="5">
        <v>62432000000</v>
      </c>
      <c r="DY20" s="5">
        <v>44976000000</v>
      </c>
      <c r="DZ20" s="5">
        <v>22674000000</v>
      </c>
      <c r="EA20" s="5">
        <v>22674000000</v>
      </c>
      <c r="EB20" s="5">
        <v>156930000000</v>
      </c>
      <c r="EC20" s="5">
        <v>112710000000</v>
      </c>
      <c r="ED20" s="5">
        <v>154390000000</v>
      </c>
      <c r="EE20" s="5">
        <v>154390000000</v>
      </c>
      <c r="EF20" s="5">
        <v>0</v>
      </c>
      <c r="EG20" s="5">
        <v>0</v>
      </c>
      <c r="EH20" s="5">
        <v>7399000000</v>
      </c>
      <c r="EI20" s="5">
        <v>7399000000</v>
      </c>
      <c r="EJ20" s="5">
        <v>0</v>
      </c>
      <c r="EK20" s="5">
        <v>0</v>
      </c>
      <c r="EL20" s="5">
        <v>161470000000</v>
      </c>
      <c r="EM20" s="5">
        <v>161470000000</v>
      </c>
      <c r="EN20" s="5">
        <v>0</v>
      </c>
      <c r="EO20" s="5">
        <v>0</v>
      </c>
      <c r="EP20" s="5">
        <v>52040000000</v>
      </c>
      <c r="EQ20" s="5">
        <v>577640000</v>
      </c>
    </row>
    <row r="21" spans="1:147">
      <c r="A21" s="5"/>
      <c r="B21" s="5"/>
      <c r="C21" s="5"/>
      <c r="D21" s="5"/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5">
        <v>0</v>
      </c>
      <c r="DG21" s="5">
        <v>0</v>
      </c>
      <c r="DH21" s="5">
        <v>0</v>
      </c>
      <c r="DI21" s="5">
        <v>0</v>
      </c>
      <c r="DJ21" s="5">
        <v>0</v>
      </c>
      <c r="DK21" s="5">
        <v>0</v>
      </c>
      <c r="DL21" s="5">
        <v>0</v>
      </c>
      <c r="DM21" s="5">
        <v>0</v>
      </c>
      <c r="DN21" s="5">
        <v>0</v>
      </c>
      <c r="DO21" s="5">
        <v>0</v>
      </c>
      <c r="DP21" s="5">
        <v>0</v>
      </c>
      <c r="DQ21" s="5">
        <v>0</v>
      </c>
      <c r="DR21" s="5">
        <v>233980000000</v>
      </c>
      <c r="DS21" s="5">
        <v>202900000000</v>
      </c>
      <c r="DT21" s="5">
        <v>0</v>
      </c>
      <c r="DU21" s="5">
        <v>0</v>
      </c>
      <c r="DV21" s="5">
        <v>213190000000</v>
      </c>
      <c r="DW21" s="5">
        <v>213190000000</v>
      </c>
      <c r="DX21" s="5">
        <v>38540000000</v>
      </c>
      <c r="DY21" s="5">
        <v>38540000000</v>
      </c>
      <c r="DZ21" s="5">
        <v>24393000000</v>
      </c>
      <c r="EA21" s="5">
        <v>24393000000</v>
      </c>
      <c r="EB21" s="5">
        <v>317700000000</v>
      </c>
      <c r="EC21" s="5">
        <v>213810000000</v>
      </c>
      <c r="ED21" s="5">
        <v>152790000000</v>
      </c>
      <c r="EE21" s="5">
        <v>135710000000</v>
      </c>
      <c r="EF21" s="5">
        <v>208480000000</v>
      </c>
      <c r="EG21" s="5">
        <v>150400000000</v>
      </c>
      <c r="EH21" s="5">
        <v>8238700000</v>
      </c>
      <c r="EI21" s="5">
        <v>8238700000</v>
      </c>
      <c r="EJ21" s="5">
        <v>385610000000</v>
      </c>
      <c r="EK21" s="5">
        <v>213240000000</v>
      </c>
      <c r="EL21" s="5">
        <v>17484000000</v>
      </c>
      <c r="EM21" s="5">
        <v>13195000000</v>
      </c>
      <c r="EN21" s="5">
        <v>3467600000</v>
      </c>
      <c r="EO21" s="5">
        <v>3467600000</v>
      </c>
      <c r="EP21" s="5">
        <v>55237000000</v>
      </c>
      <c r="EQ21" s="5">
        <v>552370000</v>
      </c>
    </row>
    <row r="22" spans="1:147">
      <c r="A22" s="5"/>
      <c r="B22" s="5"/>
      <c r="C22" s="5"/>
      <c r="D22" s="5"/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2645200000000</v>
      </c>
      <c r="CW22" s="5">
        <v>2645200000000</v>
      </c>
      <c r="CX22" s="5">
        <v>0</v>
      </c>
      <c r="CY22" s="5">
        <v>0</v>
      </c>
      <c r="CZ22" s="5">
        <v>0</v>
      </c>
      <c r="DA22" s="5">
        <v>0</v>
      </c>
      <c r="DB22" s="5">
        <v>190030000000</v>
      </c>
      <c r="DC22" s="5">
        <v>190030000000</v>
      </c>
      <c r="DD22" s="5">
        <v>0</v>
      </c>
      <c r="DE22" s="5">
        <v>0</v>
      </c>
      <c r="DF22" s="5">
        <v>0</v>
      </c>
      <c r="DG22" s="5">
        <v>0</v>
      </c>
      <c r="DH22" s="5">
        <v>0</v>
      </c>
      <c r="DI22" s="5">
        <v>0</v>
      </c>
      <c r="DJ22" s="5">
        <v>0</v>
      </c>
      <c r="DK22" s="5">
        <v>0</v>
      </c>
      <c r="DL22" s="5">
        <v>0</v>
      </c>
      <c r="DM22" s="5">
        <v>0</v>
      </c>
      <c r="DN22" s="5">
        <v>154740000000</v>
      </c>
      <c r="DO22" s="5">
        <v>154740000000</v>
      </c>
      <c r="DP22" s="5">
        <v>0</v>
      </c>
      <c r="DQ22" s="5">
        <v>0</v>
      </c>
      <c r="DR22" s="5">
        <v>0</v>
      </c>
      <c r="DS22" s="5">
        <v>0</v>
      </c>
      <c r="DT22" s="5">
        <v>0</v>
      </c>
      <c r="DU22" s="5">
        <v>0</v>
      </c>
      <c r="DV22" s="5">
        <v>392330000000</v>
      </c>
      <c r="DW22" s="5">
        <v>392330000000</v>
      </c>
      <c r="DX22" s="5">
        <v>0</v>
      </c>
      <c r="DY22" s="5">
        <v>0</v>
      </c>
      <c r="DZ22" s="5">
        <v>11983000000</v>
      </c>
      <c r="EA22" s="5">
        <v>11983000000</v>
      </c>
      <c r="EB22" s="5">
        <v>349090000000</v>
      </c>
      <c r="EC22" s="5">
        <v>258920000000</v>
      </c>
      <c r="ED22" s="5">
        <v>17873000000</v>
      </c>
      <c r="EE22" s="5">
        <v>17873000000</v>
      </c>
      <c r="EF22" s="5">
        <v>18039000000</v>
      </c>
      <c r="EG22" s="5">
        <v>10416000000</v>
      </c>
      <c r="EH22" s="5">
        <v>60550000000</v>
      </c>
      <c r="EI22" s="5">
        <v>55979000000</v>
      </c>
      <c r="EJ22" s="5">
        <v>156580000000</v>
      </c>
      <c r="EK22" s="5">
        <v>111160000000</v>
      </c>
      <c r="EL22" s="5">
        <v>36689000000</v>
      </c>
      <c r="EM22" s="5">
        <v>33809000000</v>
      </c>
      <c r="EN22" s="5">
        <v>7066000000</v>
      </c>
      <c r="EO22" s="5">
        <v>5031700000</v>
      </c>
      <c r="EP22" s="5">
        <v>59639000000</v>
      </c>
      <c r="EQ22" s="5">
        <v>512900000</v>
      </c>
    </row>
    <row r="23" spans="1:147">
      <c r="A23" s="5"/>
      <c r="B23" s="5"/>
      <c r="C23" s="5"/>
      <c r="D23" s="5"/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23652000000000</v>
      </c>
      <c r="CO23" s="5">
        <v>23652000000000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535540000000</v>
      </c>
      <c r="DA23" s="5">
        <v>535540000000</v>
      </c>
      <c r="DB23" s="5">
        <v>0</v>
      </c>
      <c r="DC23" s="5">
        <v>0</v>
      </c>
      <c r="DD23" s="5">
        <v>1925800000000</v>
      </c>
      <c r="DE23" s="5">
        <v>1925800000000</v>
      </c>
      <c r="DF23" s="5">
        <v>0</v>
      </c>
      <c r="DG23" s="5">
        <v>0</v>
      </c>
      <c r="DH23" s="5">
        <v>90443000000</v>
      </c>
      <c r="DI23" s="5">
        <v>90443000000</v>
      </c>
      <c r="DJ23" s="5">
        <v>71704000000</v>
      </c>
      <c r="DK23" s="5">
        <v>71704000000</v>
      </c>
      <c r="DL23" s="5">
        <v>66720000000</v>
      </c>
      <c r="DM23" s="5">
        <v>66720000000</v>
      </c>
      <c r="DN23" s="5">
        <v>0</v>
      </c>
      <c r="DO23" s="5">
        <v>0</v>
      </c>
      <c r="DP23" s="5">
        <v>0</v>
      </c>
      <c r="DQ23" s="5">
        <v>0</v>
      </c>
      <c r="DR23" s="5">
        <v>698460000000</v>
      </c>
      <c r="DS23" s="5">
        <v>698460000000</v>
      </c>
      <c r="DT23" s="5">
        <v>32824000000</v>
      </c>
      <c r="DU23" s="5">
        <v>32824000000</v>
      </c>
      <c r="DV23" s="5">
        <v>36057000000</v>
      </c>
      <c r="DW23" s="5">
        <v>25496000000</v>
      </c>
      <c r="DX23" s="5">
        <v>0</v>
      </c>
      <c r="DY23" s="5">
        <v>0</v>
      </c>
      <c r="DZ23" s="5">
        <v>47209000000</v>
      </c>
      <c r="EA23" s="5">
        <v>47209000000</v>
      </c>
      <c r="EB23" s="5">
        <v>0</v>
      </c>
      <c r="EC23" s="5">
        <v>0</v>
      </c>
      <c r="ED23" s="5">
        <v>7185300000</v>
      </c>
      <c r="EE23" s="5">
        <v>7185300000</v>
      </c>
      <c r="EF23" s="5">
        <v>0</v>
      </c>
      <c r="EG23" s="5">
        <v>0</v>
      </c>
      <c r="EH23" s="5">
        <v>173940000000</v>
      </c>
      <c r="EI23" s="5">
        <v>173940000000</v>
      </c>
      <c r="EJ23" s="5">
        <v>131510000000</v>
      </c>
      <c r="EK23" s="5">
        <v>80973000000</v>
      </c>
      <c r="EL23" s="5">
        <v>304420000000</v>
      </c>
      <c r="EM23" s="5">
        <v>173610000000</v>
      </c>
      <c r="EN23" s="5">
        <v>279200000000</v>
      </c>
      <c r="EO23" s="5">
        <v>214310000000</v>
      </c>
      <c r="EP23" s="5">
        <v>61437000000</v>
      </c>
      <c r="EQ23" s="5">
        <v>503780000</v>
      </c>
    </row>
    <row r="24" spans="1:147">
      <c r="A24" s="5"/>
      <c r="B24" s="5"/>
      <c r="C24" s="5"/>
      <c r="D24" s="5"/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5">
        <v>0</v>
      </c>
      <c r="DG24" s="5">
        <v>0</v>
      </c>
      <c r="DH24" s="5">
        <v>0</v>
      </c>
      <c r="DI24" s="5">
        <v>0</v>
      </c>
      <c r="DJ24" s="5">
        <v>888150000000</v>
      </c>
      <c r="DK24" s="5">
        <v>888150000000</v>
      </c>
      <c r="DL24" s="5">
        <v>0</v>
      </c>
      <c r="DM24" s="5">
        <v>0</v>
      </c>
      <c r="DN24" s="5">
        <v>0</v>
      </c>
      <c r="DO24" s="5">
        <v>0</v>
      </c>
      <c r="DP24" s="5">
        <v>0</v>
      </c>
      <c r="DQ24" s="5">
        <v>0</v>
      </c>
      <c r="DR24" s="5">
        <v>0</v>
      </c>
      <c r="DS24" s="5">
        <v>0</v>
      </c>
      <c r="DT24" s="5">
        <v>47774000000</v>
      </c>
      <c r="DU24" s="5">
        <v>47774000000</v>
      </c>
      <c r="DV24" s="5">
        <v>0</v>
      </c>
      <c r="DW24" s="5">
        <v>0</v>
      </c>
      <c r="DX24" s="5">
        <v>194470000000</v>
      </c>
      <c r="DY24" s="5">
        <v>130700000000</v>
      </c>
      <c r="DZ24" s="5">
        <v>386800000000</v>
      </c>
      <c r="EA24" s="5">
        <v>336630000000</v>
      </c>
      <c r="EB24" s="5">
        <v>125830000000</v>
      </c>
      <c r="EC24" s="5">
        <v>94107000000</v>
      </c>
      <c r="ED24" s="5">
        <v>6849600000</v>
      </c>
      <c r="EE24" s="5">
        <v>6849600000</v>
      </c>
      <c r="EF24" s="5">
        <v>53350000000</v>
      </c>
      <c r="EG24" s="5">
        <v>53350000000</v>
      </c>
      <c r="EH24" s="5">
        <v>41929000000</v>
      </c>
      <c r="EI24" s="5">
        <v>27149000000</v>
      </c>
      <c r="EJ24" s="5">
        <v>35129000000</v>
      </c>
      <c r="EK24" s="5">
        <v>28328000000</v>
      </c>
      <c r="EL24" s="5">
        <v>113560000000</v>
      </c>
      <c r="EM24" s="5">
        <v>110870000000</v>
      </c>
      <c r="EN24" s="5">
        <v>109830000000</v>
      </c>
      <c r="EO24" s="5">
        <v>89247000000</v>
      </c>
      <c r="EP24" s="5">
        <v>63834000000</v>
      </c>
      <c r="EQ24" s="5">
        <v>478760000</v>
      </c>
    </row>
    <row r="25" spans="1:147">
      <c r="A25" s="5"/>
      <c r="B25" s="5"/>
      <c r="C25" s="5"/>
      <c r="D25" s="5"/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9165400000000</v>
      </c>
      <c r="DE25" s="5">
        <v>6442300000000</v>
      </c>
      <c r="DF25" s="5">
        <v>641480000000</v>
      </c>
      <c r="DG25" s="5">
        <v>641480000000</v>
      </c>
      <c r="DH25" s="5">
        <v>0</v>
      </c>
      <c r="DI25" s="5">
        <v>0</v>
      </c>
      <c r="DJ25" s="5">
        <v>1546100000000</v>
      </c>
      <c r="DK25" s="5">
        <v>1546100000000</v>
      </c>
      <c r="DL25" s="5">
        <v>1027800000000</v>
      </c>
      <c r="DM25" s="5">
        <v>1027800000000</v>
      </c>
      <c r="DN25" s="5">
        <v>0</v>
      </c>
      <c r="DO25" s="5">
        <v>0</v>
      </c>
      <c r="DP25" s="5">
        <v>0</v>
      </c>
      <c r="DQ25" s="5">
        <v>0</v>
      </c>
      <c r="DR25" s="5">
        <v>25064000000</v>
      </c>
      <c r="DS25" s="5">
        <v>25064000000</v>
      </c>
      <c r="DT25" s="5">
        <v>42008000000</v>
      </c>
      <c r="DU25" s="5">
        <v>29800000000</v>
      </c>
      <c r="DV25" s="5">
        <v>27781000000</v>
      </c>
      <c r="DW25" s="5">
        <v>27781000000</v>
      </c>
      <c r="DX25" s="5">
        <v>47039000000</v>
      </c>
      <c r="DY25" s="5">
        <v>47039000000</v>
      </c>
      <c r="DZ25" s="5">
        <v>452450000000</v>
      </c>
      <c r="EA25" s="5">
        <v>397660000000</v>
      </c>
      <c r="EB25" s="5">
        <v>7685600000</v>
      </c>
      <c r="EC25" s="5">
        <v>7685600000</v>
      </c>
      <c r="ED25" s="5">
        <v>66185000000</v>
      </c>
      <c r="EE25" s="5">
        <v>60321000000</v>
      </c>
      <c r="EF25" s="5">
        <v>128880000000</v>
      </c>
      <c r="EG25" s="5">
        <v>90258000000</v>
      </c>
      <c r="EH25" s="5">
        <v>0</v>
      </c>
      <c r="EI25" s="5">
        <v>0</v>
      </c>
      <c r="EJ25" s="5">
        <v>148730000000</v>
      </c>
      <c r="EK25" s="5">
        <v>125890000000</v>
      </c>
      <c r="EL25" s="5">
        <v>446110000000</v>
      </c>
      <c r="EM25" s="5">
        <v>320530000000</v>
      </c>
      <c r="EN25" s="5">
        <v>11677000000</v>
      </c>
      <c r="EO25" s="5">
        <v>7613700000</v>
      </c>
      <c r="EP25" s="5">
        <v>65179000000</v>
      </c>
      <c r="EQ25" s="5">
        <v>456250000</v>
      </c>
    </row>
    <row r="26" spans="1:147">
      <c r="A26" s="5"/>
      <c r="B26" s="5"/>
      <c r="C26" s="5"/>
      <c r="D26" s="5"/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4390600000000</v>
      </c>
      <c r="DC26" s="5">
        <v>4067500000000</v>
      </c>
      <c r="DD26" s="5">
        <v>0</v>
      </c>
      <c r="DE26" s="5">
        <v>0</v>
      </c>
      <c r="DF26" s="5">
        <v>227100000000</v>
      </c>
      <c r="DG26" s="5">
        <v>227100000000</v>
      </c>
      <c r="DH26" s="5">
        <v>0</v>
      </c>
      <c r="DI26" s="5">
        <v>0</v>
      </c>
      <c r="DJ26" s="5">
        <v>0</v>
      </c>
      <c r="DK26" s="5">
        <v>0</v>
      </c>
      <c r="DL26" s="5">
        <v>0</v>
      </c>
      <c r="DM26" s="5">
        <v>0</v>
      </c>
      <c r="DN26" s="5">
        <v>295370000000</v>
      </c>
      <c r="DO26" s="5">
        <v>295370000000</v>
      </c>
      <c r="DP26" s="5">
        <v>96019000000</v>
      </c>
      <c r="DQ26" s="5">
        <v>73982000000</v>
      </c>
      <c r="DR26" s="5">
        <v>0</v>
      </c>
      <c r="DS26" s="5">
        <v>0</v>
      </c>
      <c r="DT26" s="5">
        <v>17232000000</v>
      </c>
      <c r="DU26" s="5">
        <v>17232000000</v>
      </c>
      <c r="DV26" s="5">
        <v>63888000000</v>
      </c>
      <c r="DW26" s="5">
        <v>51500000000</v>
      </c>
      <c r="DX26" s="5">
        <v>377790000000</v>
      </c>
      <c r="DY26" s="5">
        <v>342920000000</v>
      </c>
      <c r="DZ26" s="5">
        <v>126820000000</v>
      </c>
      <c r="EA26" s="5">
        <v>118530000000</v>
      </c>
      <c r="EB26" s="5">
        <v>124420000000</v>
      </c>
      <c r="EC26" s="5">
        <v>73819000000</v>
      </c>
      <c r="ED26" s="5">
        <v>0</v>
      </c>
      <c r="EE26" s="5">
        <v>0</v>
      </c>
      <c r="EF26" s="5">
        <v>63165000000</v>
      </c>
      <c r="EG26" s="5">
        <v>44904000000</v>
      </c>
      <c r="EH26" s="5">
        <v>23451000000</v>
      </c>
      <c r="EI26" s="5">
        <v>17281000000</v>
      </c>
      <c r="EJ26" s="5">
        <v>213820000000</v>
      </c>
      <c r="EK26" s="5">
        <v>110910000000</v>
      </c>
      <c r="EL26" s="5">
        <v>79286000000</v>
      </c>
      <c r="EM26" s="5">
        <v>67940000000</v>
      </c>
      <c r="EN26" s="5">
        <v>167540000000</v>
      </c>
      <c r="EO26" s="5">
        <v>88192000000</v>
      </c>
      <c r="EP26" s="5">
        <v>65831000000</v>
      </c>
      <c r="EQ26" s="5">
        <v>434480000</v>
      </c>
    </row>
    <row r="27" spans="1:147">
      <c r="A27" s="5"/>
      <c r="B27" s="5"/>
      <c r="C27" s="5"/>
      <c r="D27" s="5"/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11045000000000</v>
      </c>
      <c r="CQ27" s="5">
        <v>11045000000000</v>
      </c>
      <c r="CR27" s="5">
        <v>0</v>
      </c>
      <c r="CS27" s="5">
        <v>0</v>
      </c>
      <c r="CT27" s="5">
        <v>0</v>
      </c>
      <c r="CU27" s="5">
        <v>0</v>
      </c>
      <c r="CV27" s="5">
        <v>6911400000000</v>
      </c>
      <c r="CW27" s="5">
        <v>6911400000000</v>
      </c>
      <c r="CX27" s="5">
        <v>0</v>
      </c>
      <c r="CY27" s="5">
        <v>0</v>
      </c>
      <c r="CZ27" s="5">
        <v>170280000000</v>
      </c>
      <c r="DA27" s="5">
        <v>170280000000</v>
      </c>
      <c r="DB27" s="5">
        <v>0</v>
      </c>
      <c r="DC27" s="5">
        <v>0</v>
      </c>
      <c r="DD27" s="5">
        <v>0</v>
      </c>
      <c r="DE27" s="5">
        <v>0</v>
      </c>
      <c r="DF27" s="5">
        <v>137740000000</v>
      </c>
      <c r="DG27" s="5">
        <v>137740000000</v>
      </c>
      <c r="DH27" s="5">
        <v>350880000000</v>
      </c>
      <c r="DI27" s="5">
        <v>282640000000</v>
      </c>
      <c r="DJ27" s="5">
        <v>48427000000</v>
      </c>
      <c r="DK27" s="5">
        <v>48427000000</v>
      </c>
      <c r="DL27" s="5">
        <v>0</v>
      </c>
      <c r="DM27" s="5">
        <v>0</v>
      </c>
      <c r="DN27" s="5">
        <v>69722000000</v>
      </c>
      <c r="DO27" s="5">
        <v>69722000000</v>
      </c>
      <c r="DP27" s="5">
        <v>24297000000</v>
      </c>
      <c r="DQ27" s="5">
        <v>24297000000</v>
      </c>
      <c r="DR27" s="5">
        <v>619490000000</v>
      </c>
      <c r="DS27" s="5">
        <v>619490000000</v>
      </c>
      <c r="DT27" s="5">
        <v>155590000000</v>
      </c>
      <c r="DU27" s="5">
        <v>155590000000</v>
      </c>
      <c r="DV27" s="5">
        <v>557450000000</v>
      </c>
      <c r="DW27" s="5">
        <v>480960000000</v>
      </c>
      <c r="DX27" s="5">
        <v>9661800000</v>
      </c>
      <c r="DY27" s="5">
        <v>9661800000</v>
      </c>
      <c r="DZ27" s="5">
        <v>7818100000</v>
      </c>
      <c r="EA27" s="5">
        <v>7818100000</v>
      </c>
      <c r="EB27" s="5">
        <v>46862000000</v>
      </c>
      <c r="EC27" s="5">
        <v>46862000000</v>
      </c>
      <c r="ED27" s="5">
        <v>100460000000</v>
      </c>
      <c r="EE27" s="5">
        <v>69158000000</v>
      </c>
      <c r="EF27" s="5">
        <v>272280000000</v>
      </c>
      <c r="EG27" s="5">
        <v>164680000000</v>
      </c>
      <c r="EH27" s="5">
        <v>41258000000</v>
      </c>
      <c r="EI27" s="5">
        <v>22976000000</v>
      </c>
      <c r="EJ27" s="5">
        <v>0</v>
      </c>
      <c r="EK27" s="5">
        <v>0</v>
      </c>
      <c r="EL27" s="5">
        <v>287180000000</v>
      </c>
      <c r="EM27" s="5">
        <v>212570000000</v>
      </c>
      <c r="EN27" s="5">
        <v>171420000000</v>
      </c>
      <c r="EO27" s="5">
        <v>96014000000</v>
      </c>
      <c r="EP27" s="5">
        <v>66545000000</v>
      </c>
      <c r="EQ27" s="5">
        <v>399270000</v>
      </c>
    </row>
    <row r="28" spans="1:147">
      <c r="A28" s="5"/>
      <c r="B28" s="5"/>
      <c r="C28" s="5"/>
      <c r="D28" s="5"/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7750200000000</v>
      </c>
      <c r="CY28" s="5">
        <v>7750200000000</v>
      </c>
      <c r="CZ28" s="5">
        <v>0</v>
      </c>
      <c r="DA28" s="5">
        <v>0</v>
      </c>
      <c r="DB28" s="5">
        <v>360230000000</v>
      </c>
      <c r="DC28" s="5">
        <v>360230000000</v>
      </c>
      <c r="DD28" s="5">
        <v>0</v>
      </c>
      <c r="DE28" s="5">
        <v>0</v>
      </c>
      <c r="DF28" s="5">
        <v>0</v>
      </c>
      <c r="DG28" s="5">
        <v>0</v>
      </c>
      <c r="DH28" s="5">
        <v>0</v>
      </c>
      <c r="DI28" s="5">
        <v>0</v>
      </c>
      <c r="DJ28" s="5">
        <v>0</v>
      </c>
      <c r="DK28" s="5">
        <v>0</v>
      </c>
      <c r="DL28" s="5">
        <v>1477300000000</v>
      </c>
      <c r="DM28" s="5">
        <v>1443100000000</v>
      </c>
      <c r="DN28" s="5">
        <v>66275000000</v>
      </c>
      <c r="DO28" s="5">
        <v>66275000000</v>
      </c>
      <c r="DP28" s="5">
        <v>21639000000</v>
      </c>
      <c r="DQ28" s="5">
        <v>21639000000</v>
      </c>
      <c r="DR28" s="5">
        <v>17907000000</v>
      </c>
      <c r="DS28" s="5">
        <v>17907000000</v>
      </c>
      <c r="DT28" s="5">
        <v>23820000000</v>
      </c>
      <c r="DU28" s="5">
        <v>23820000000</v>
      </c>
      <c r="DV28" s="5">
        <v>63832000000</v>
      </c>
      <c r="DW28" s="5">
        <v>63832000000</v>
      </c>
      <c r="DX28" s="5">
        <v>1019500000000</v>
      </c>
      <c r="DY28" s="5">
        <v>915590000000</v>
      </c>
      <c r="DZ28" s="5">
        <v>270960000000</v>
      </c>
      <c r="EA28" s="5">
        <v>217250000000</v>
      </c>
      <c r="EB28" s="5">
        <v>21491000000</v>
      </c>
      <c r="EC28" s="5">
        <v>13103000000</v>
      </c>
      <c r="ED28" s="5">
        <v>4318000000</v>
      </c>
      <c r="EE28" s="5">
        <v>4318000000</v>
      </c>
      <c r="EF28" s="5">
        <v>109170000000</v>
      </c>
      <c r="EG28" s="5">
        <v>80305000000</v>
      </c>
      <c r="EH28" s="5">
        <v>128040000000</v>
      </c>
      <c r="EI28" s="5">
        <v>70000000000</v>
      </c>
      <c r="EJ28" s="5">
        <v>361370000000</v>
      </c>
      <c r="EK28" s="5">
        <v>151990000000</v>
      </c>
      <c r="EL28" s="5">
        <v>731000000000</v>
      </c>
      <c r="EM28" s="5">
        <v>306730000000</v>
      </c>
      <c r="EN28" s="5">
        <v>90808000000</v>
      </c>
      <c r="EO28" s="5">
        <v>62176000000</v>
      </c>
      <c r="EP28" s="5">
        <v>65072000000</v>
      </c>
      <c r="EQ28" s="5">
        <v>377420000</v>
      </c>
    </row>
    <row r="29" spans="1:147">
      <c r="A29" s="5"/>
      <c r="B29" s="5"/>
      <c r="C29" s="5"/>
      <c r="D29" s="5"/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9016200000000</v>
      </c>
      <c r="CU29" s="5">
        <v>9016200000000</v>
      </c>
      <c r="CV29" s="5">
        <v>0</v>
      </c>
      <c r="CW29" s="5">
        <v>0</v>
      </c>
      <c r="CX29" s="5">
        <v>1808000000000</v>
      </c>
      <c r="CY29" s="5">
        <v>1808000000000</v>
      </c>
      <c r="CZ29" s="5">
        <v>4091200000000</v>
      </c>
      <c r="DA29" s="5">
        <v>4091200000000</v>
      </c>
      <c r="DB29" s="5">
        <v>96756000000</v>
      </c>
      <c r="DC29" s="5">
        <v>96756000000</v>
      </c>
      <c r="DD29" s="5">
        <v>0</v>
      </c>
      <c r="DE29" s="5">
        <v>0</v>
      </c>
      <c r="DF29" s="5">
        <v>1233900000000</v>
      </c>
      <c r="DG29" s="5">
        <v>1036300000000</v>
      </c>
      <c r="DH29" s="5">
        <v>0</v>
      </c>
      <c r="DI29" s="5">
        <v>0</v>
      </c>
      <c r="DJ29" s="5">
        <v>0</v>
      </c>
      <c r="DK29" s="5">
        <v>0</v>
      </c>
      <c r="DL29" s="5">
        <v>0</v>
      </c>
      <c r="DM29" s="5">
        <v>0</v>
      </c>
      <c r="DN29" s="5">
        <v>243330000000</v>
      </c>
      <c r="DO29" s="5">
        <v>243330000000</v>
      </c>
      <c r="DP29" s="5">
        <v>0</v>
      </c>
      <c r="DQ29" s="5">
        <v>0</v>
      </c>
      <c r="DR29" s="5">
        <v>83557000000</v>
      </c>
      <c r="DS29" s="5">
        <v>52967000000</v>
      </c>
      <c r="DT29" s="5">
        <v>1181500000000</v>
      </c>
      <c r="DU29" s="5">
        <v>657630000000</v>
      </c>
      <c r="DV29" s="5">
        <v>74259000000</v>
      </c>
      <c r="DW29" s="5">
        <v>46427000000</v>
      </c>
      <c r="DX29" s="5">
        <v>15431000000</v>
      </c>
      <c r="DY29" s="5">
        <v>10911000000</v>
      </c>
      <c r="DZ29" s="5">
        <v>102690000000</v>
      </c>
      <c r="EA29" s="5">
        <v>90308000000</v>
      </c>
      <c r="EB29" s="5">
        <v>294710000000</v>
      </c>
      <c r="EC29" s="5">
        <v>144170000000</v>
      </c>
      <c r="ED29" s="5">
        <v>167060000000</v>
      </c>
      <c r="EE29" s="5">
        <v>131070000000</v>
      </c>
      <c r="EF29" s="5">
        <v>1474700000000</v>
      </c>
      <c r="EG29" s="5">
        <v>1271600000000</v>
      </c>
      <c r="EH29" s="5">
        <v>614040000000</v>
      </c>
      <c r="EI29" s="5">
        <v>247640000000</v>
      </c>
      <c r="EJ29" s="5">
        <v>889250000000</v>
      </c>
      <c r="EK29" s="5">
        <v>765910000000</v>
      </c>
      <c r="EL29" s="5">
        <v>175800000000</v>
      </c>
      <c r="EM29" s="5">
        <v>64626000000</v>
      </c>
      <c r="EN29" s="5">
        <v>1374400000000</v>
      </c>
      <c r="EO29" s="5">
        <v>928280000000</v>
      </c>
      <c r="EP29" s="5">
        <v>64535000000</v>
      </c>
      <c r="EQ29" s="5">
        <v>348490000</v>
      </c>
    </row>
    <row r="30" spans="1:147">
      <c r="A30" s="5"/>
      <c r="B30" s="5"/>
      <c r="C30" s="5"/>
      <c r="D30" s="5"/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5769800000000</v>
      </c>
      <c r="DA30" s="5">
        <v>4660300000000</v>
      </c>
      <c r="DB30" s="5">
        <v>96752000000</v>
      </c>
      <c r="DC30" s="5">
        <v>96752000000</v>
      </c>
      <c r="DD30" s="5">
        <v>0</v>
      </c>
      <c r="DE30" s="5">
        <v>0</v>
      </c>
      <c r="DF30" s="5">
        <v>1153900000000</v>
      </c>
      <c r="DG30" s="5">
        <v>1153900000000</v>
      </c>
      <c r="DH30" s="5">
        <v>736380000000</v>
      </c>
      <c r="DI30" s="5">
        <v>493450000000</v>
      </c>
      <c r="DJ30" s="5">
        <v>806950000000</v>
      </c>
      <c r="DK30" s="5">
        <v>806950000000</v>
      </c>
      <c r="DL30" s="5">
        <v>46537000000</v>
      </c>
      <c r="DM30" s="5">
        <v>46537000000</v>
      </c>
      <c r="DN30" s="5">
        <v>0</v>
      </c>
      <c r="DO30" s="5">
        <v>0</v>
      </c>
      <c r="DP30" s="5">
        <v>152930000000</v>
      </c>
      <c r="DQ30" s="5">
        <v>152930000000</v>
      </c>
      <c r="DR30" s="5">
        <v>226130000000</v>
      </c>
      <c r="DS30" s="5">
        <v>153270000000</v>
      </c>
      <c r="DT30" s="5">
        <v>328980000000</v>
      </c>
      <c r="DU30" s="5">
        <v>328980000000</v>
      </c>
      <c r="DV30" s="5">
        <v>224980000000</v>
      </c>
      <c r="DW30" s="5">
        <v>144210000000</v>
      </c>
      <c r="DX30" s="5">
        <v>56329000000</v>
      </c>
      <c r="DY30" s="5">
        <v>49958000000</v>
      </c>
      <c r="DZ30" s="5">
        <v>2862400000000</v>
      </c>
      <c r="EA30" s="5">
        <v>2631100000000</v>
      </c>
      <c r="EB30" s="5">
        <v>287620000000</v>
      </c>
      <c r="EC30" s="5">
        <v>158530000000</v>
      </c>
      <c r="ED30" s="5">
        <v>60463000000</v>
      </c>
      <c r="EE30" s="5">
        <v>45112000000</v>
      </c>
      <c r="EF30" s="5">
        <v>676820000000</v>
      </c>
      <c r="EG30" s="5">
        <v>584570000000</v>
      </c>
      <c r="EH30" s="5">
        <v>820520000000</v>
      </c>
      <c r="EI30" s="5">
        <v>446860000000</v>
      </c>
      <c r="EJ30" s="5">
        <v>310220000000</v>
      </c>
      <c r="EK30" s="5">
        <v>115460000000</v>
      </c>
      <c r="EL30" s="5">
        <v>1162300000000</v>
      </c>
      <c r="EM30" s="5">
        <v>701560000000</v>
      </c>
      <c r="EN30" s="5">
        <v>587960000000</v>
      </c>
      <c r="EO30" s="5">
        <v>240530000000</v>
      </c>
      <c r="EP30" s="5">
        <v>63440000000</v>
      </c>
      <c r="EQ30" s="5">
        <v>323540000</v>
      </c>
    </row>
    <row r="31" spans="1:147">
      <c r="A31" s="5"/>
      <c r="B31" s="5"/>
      <c r="C31" s="5"/>
      <c r="D31" s="5"/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2535200000000</v>
      </c>
      <c r="CM31" s="5">
        <v>2535200000000</v>
      </c>
      <c r="CN31" s="5">
        <v>0</v>
      </c>
      <c r="CO31" s="5">
        <v>0</v>
      </c>
      <c r="CP31" s="5">
        <v>6843100000000</v>
      </c>
      <c r="CQ31" s="5">
        <v>6843100000000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678550000000</v>
      </c>
      <c r="DC31" s="5">
        <v>678550000000</v>
      </c>
      <c r="DD31" s="5">
        <v>0</v>
      </c>
      <c r="DE31" s="5">
        <v>0</v>
      </c>
      <c r="DF31" s="5">
        <v>48471000000</v>
      </c>
      <c r="DG31" s="5">
        <v>48471000000</v>
      </c>
      <c r="DH31" s="5">
        <v>77157000000</v>
      </c>
      <c r="DI31" s="5">
        <v>77157000000</v>
      </c>
      <c r="DJ31" s="5">
        <v>897520000000</v>
      </c>
      <c r="DK31" s="5">
        <v>867460000000</v>
      </c>
      <c r="DL31" s="5">
        <v>24297000000</v>
      </c>
      <c r="DM31" s="5">
        <v>24297000000</v>
      </c>
      <c r="DN31" s="5">
        <v>19292000000</v>
      </c>
      <c r="DO31" s="5">
        <v>19292000000</v>
      </c>
      <c r="DP31" s="5">
        <v>27339000000</v>
      </c>
      <c r="DQ31" s="5">
        <v>27339000000</v>
      </c>
      <c r="DR31" s="5">
        <v>0</v>
      </c>
      <c r="DS31" s="5">
        <v>0</v>
      </c>
      <c r="DT31" s="5">
        <v>541960000000</v>
      </c>
      <c r="DU31" s="5">
        <v>385490000000</v>
      </c>
      <c r="DV31" s="5">
        <v>205450000000</v>
      </c>
      <c r="DW31" s="5">
        <v>188500000000</v>
      </c>
      <c r="DX31" s="5">
        <v>544890000000</v>
      </c>
      <c r="DY31" s="5">
        <v>299630000000</v>
      </c>
      <c r="DZ31" s="5">
        <v>208310000000</v>
      </c>
      <c r="EA31" s="5">
        <v>135180000000</v>
      </c>
      <c r="EB31" s="5">
        <v>676500000000</v>
      </c>
      <c r="EC31" s="5">
        <v>466180000000</v>
      </c>
      <c r="ED31" s="5">
        <v>491130000000</v>
      </c>
      <c r="EE31" s="5">
        <v>359510000000</v>
      </c>
      <c r="EF31" s="5">
        <v>984530000000</v>
      </c>
      <c r="EG31" s="5">
        <v>684150000000</v>
      </c>
      <c r="EH31" s="5">
        <v>460960000000</v>
      </c>
      <c r="EI31" s="5">
        <v>135840000000</v>
      </c>
      <c r="EJ31" s="5">
        <v>388870000000</v>
      </c>
      <c r="EK31" s="5">
        <v>151780000000</v>
      </c>
      <c r="EL31" s="5">
        <v>1008900000000</v>
      </c>
      <c r="EM31" s="5">
        <v>408510000000</v>
      </c>
      <c r="EN31" s="5">
        <v>904560000000</v>
      </c>
      <c r="EO31" s="5">
        <v>286830000000</v>
      </c>
      <c r="EP31" s="5">
        <v>61187000000</v>
      </c>
      <c r="EQ31" s="5">
        <v>299820000</v>
      </c>
    </row>
    <row r="32" spans="1:147">
      <c r="A32" s="5"/>
      <c r="B32" s="5"/>
      <c r="C32" s="5"/>
      <c r="D32" s="5"/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0</v>
      </c>
      <c r="BD32" s="5">
        <v>0</v>
      </c>
      <c r="BE32" s="5">
        <v>0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177000000000</v>
      </c>
      <c r="CW32" s="5">
        <v>177000000000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54335000000</v>
      </c>
      <c r="DE32" s="5">
        <v>54335000000</v>
      </c>
      <c r="DF32" s="5">
        <v>781580000000</v>
      </c>
      <c r="DG32" s="5">
        <v>739530000000</v>
      </c>
      <c r="DH32" s="5">
        <v>95687000000</v>
      </c>
      <c r="DI32" s="5">
        <v>69029000000</v>
      </c>
      <c r="DJ32" s="5">
        <v>0</v>
      </c>
      <c r="DK32" s="5">
        <v>0</v>
      </c>
      <c r="DL32" s="5">
        <v>0</v>
      </c>
      <c r="DM32" s="5">
        <v>0</v>
      </c>
      <c r="DN32" s="5">
        <v>383050000000</v>
      </c>
      <c r="DO32" s="5">
        <v>383050000000</v>
      </c>
      <c r="DP32" s="5">
        <v>1125400000000</v>
      </c>
      <c r="DQ32" s="5">
        <v>968520000000</v>
      </c>
      <c r="DR32" s="5">
        <v>666760000000</v>
      </c>
      <c r="DS32" s="5">
        <v>399120000000</v>
      </c>
      <c r="DT32" s="5">
        <v>27115000000</v>
      </c>
      <c r="DU32" s="5">
        <v>20404000000</v>
      </c>
      <c r="DV32" s="5">
        <v>722020000000</v>
      </c>
      <c r="DW32" s="5">
        <v>510750000000</v>
      </c>
      <c r="DX32" s="5">
        <v>302500000000</v>
      </c>
      <c r="DY32" s="5">
        <v>224880000000</v>
      </c>
      <c r="DZ32" s="5">
        <v>395000000000</v>
      </c>
      <c r="EA32" s="5">
        <v>329470000000</v>
      </c>
      <c r="EB32" s="5">
        <v>470880000000</v>
      </c>
      <c r="EC32" s="5">
        <v>265250000000</v>
      </c>
      <c r="ED32" s="5">
        <v>224080000000</v>
      </c>
      <c r="EE32" s="5">
        <v>130710000000</v>
      </c>
      <c r="EF32" s="5">
        <v>930520000000</v>
      </c>
      <c r="EG32" s="5">
        <v>575340000000</v>
      </c>
      <c r="EH32" s="5">
        <v>651150000000</v>
      </c>
      <c r="EI32" s="5">
        <v>231880000000</v>
      </c>
      <c r="EJ32" s="5">
        <v>2950200000000</v>
      </c>
      <c r="EK32" s="5">
        <v>1380700000000</v>
      </c>
      <c r="EL32" s="5">
        <v>1374600000000</v>
      </c>
      <c r="EM32" s="5">
        <v>495140000000</v>
      </c>
      <c r="EN32" s="5">
        <v>2418000000000</v>
      </c>
      <c r="EO32" s="5">
        <v>587580000000</v>
      </c>
      <c r="EP32" s="5">
        <v>58412000000</v>
      </c>
      <c r="EQ32" s="5">
        <v>274540000</v>
      </c>
    </row>
    <row r="33" spans="1:147">
      <c r="A33" s="5"/>
      <c r="B33" s="5"/>
      <c r="C33" s="5"/>
      <c r="D33" s="5"/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0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5">
        <v>0</v>
      </c>
      <c r="BS33" s="5">
        <v>0</v>
      </c>
      <c r="BT33" s="5">
        <v>0</v>
      </c>
      <c r="BU33" s="5">
        <v>0</v>
      </c>
      <c r="BV33" s="5">
        <v>0</v>
      </c>
      <c r="BW33" s="5">
        <v>0</v>
      </c>
      <c r="BX33" s="5">
        <v>0</v>
      </c>
      <c r="BY33" s="5">
        <v>0</v>
      </c>
      <c r="BZ33" s="5">
        <v>1533600000000</v>
      </c>
      <c r="CA33" s="5">
        <v>1533600000000</v>
      </c>
      <c r="CB33" s="5">
        <v>0</v>
      </c>
      <c r="CC33" s="5">
        <v>0</v>
      </c>
      <c r="CD33" s="5">
        <v>0</v>
      </c>
      <c r="CE33" s="5">
        <v>0</v>
      </c>
      <c r="CF33" s="5">
        <v>0</v>
      </c>
      <c r="CG33" s="5">
        <v>0</v>
      </c>
      <c r="CH33" s="5">
        <v>0</v>
      </c>
      <c r="CI33" s="5">
        <v>0</v>
      </c>
      <c r="CJ33" s="5">
        <v>1137000000000</v>
      </c>
      <c r="CK33" s="5">
        <v>1137000000000</v>
      </c>
      <c r="CL33" s="5">
        <v>385240000000</v>
      </c>
      <c r="CM33" s="5">
        <v>385240000000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855180000000</v>
      </c>
      <c r="CW33" s="5">
        <v>855180000000</v>
      </c>
      <c r="CX33" s="5">
        <v>1893800000000</v>
      </c>
      <c r="CY33" s="5">
        <v>1893800000000</v>
      </c>
      <c r="CZ33" s="5">
        <v>0</v>
      </c>
      <c r="DA33" s="5">
        <v>0</v>
      </c>
      <c r="DB33" s="5">
        <v>0</v>
      </c>
      <c r="DC33" s="5">
        <v>0</v>
      </c>
      <c r="DD33" s="5">
        <v>102230000000</v>
      </c>
      <c r="DE33" s="5">
        <v>102230000000</v>
      </c>
      <c r="DF33" s="5">
        <v>742820000000</v>
      </c>
      <c r="DG33" s="5">
        <v>742820000000</v>
      </c>
      <c r="DH33" s="5">
        <v>875700000000</v>
      </c>
      <c r="DI33" s="5">
        <v>680330000000</v>
      </c>
      <c r="DJ33" s="5">
        <v>75010000000</v>
      </c>
      <c r="DK33" s="5">
        <v>56243000000</v>
      </c>
      <c r="DL33" s="5">
        <v>0</v>
      </c>
      <c r="DM33" s="5">
        <v>0</v>
      </c>
      <c r="DN33" s="5">
        <v>0</v>
      </c>
      <c r="DO33" s="5">
        <v>0</v>
      </c>
      <c r="DP33" s="5">
        <v>587080000000</v>
      </c>
      <c r="DQ33" s="5">
        <v>530370000000</v>
      </c>
      <c r="DR33" s="5">
        <v>545310000000</v>
      </c>
      <c r="DS33" s="5">
        <v>375990000000</v>
      </c>
      <c r="DT33" s="5">
        <v>84382000000</v>
      </c>
      <c r="DU33" s="5">
        <v>77032000000</v>
      </c>
      <c r="DV33" s="5">
        <v>494850000000</v>
      </c>
      <c r="DW33" s="5">
        <v>270980000000</v>
      </c>
      <c r="DX33" s="5">
        <v>55453000000</v>
      </c>
      <c r="DY33" s="5">
        <v>33144000000</v>
      </c>
      <c r="DZ33" s="5">
        <v>811240000000</v>
      </c>
      <c r="EA33" s="5">
        <v>375850000000</v>
      </c>
      <c r="EB33" s="5">
        <v>785360000000</v>
      </c>
      <c r="EC33" s="5">
        <v>327570000000</v>
      </c>
      <c r="ED33" s="5">
        <v>1183000000000</v>
      </c>
      <c r="EE33" s="5">
        <v>432520000000</v>
      </c>
      <c r="EF33" s="5">
        <v>1672000000000</v>
      </c>
      <c r="EG33" s="5">
        <v>792690000000</v>
      </c>
      <c r="EH33" s="5">
        <v>1554100000000</v>
      </c>
      <c r="EI33" s="5">
        <v>476030000000</v>
      </c>
      <c r="EJ33" s="5">
        <v>2421600000000</v>
      </c>
      <c r="EK33" s="5">
        <v>534210000000</v>
      </c>
      <c r="EL33" s="5">
        <v>3253000000000</v>
      </c>
      <c r="EM33" s="5">
        <v>894890000000</v>
      </c>
      <c r="EN33" s="5">
        <v>1874100000000</v>
      </c>
      <c r="EO33" s="5">
        <v>330030000000</v>
      </c>
      <c r="EP33" s="5">
        <v>55659000000</v>
      </c>
      <c r="EQ33" s="5">
        <v>250470000</v>
      </c>
    </row>
    <row r="34" spans="1:147">
      <c r="A34" s="5"/>
      <c r="B34" s="5"/>
      <c r="C34" s="5"/>
      <c r="D34" s="5"/>
      <c r="E34" s="5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0</v>
      </c>
      <c r="BA34" s="5">
        <v>0</v>
      </c>
      <c r="BB34" s="5">
        <v>0</v>
      </c>
      <c r="BC34" s="5">
        <v>0</v>
      </c>
      <c r="BD34" s="5">
        <v>0</v>
      </c>
      <c r="BE34" s="5">
        <v>0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5">
        <v>0</v>
      </c>
      <c r="BS34" s="5">
        <v>0</v>
      </c>
      <c r="BT34" s="5">
        <v>0</v>
      </c>
      <c r="BU34" s="5">
        <v>0</v>
      </c>
      <c r="BV34" s="5">
        <v>0</v>
      </c>
      <c r="BW34" s="5">
        <v>0</v>
      </c>
      <c r="BX34" s="5">
        <v>0</v>
      </c>
      <c r="BY34" s="5">
        <v>0</v>
      </c>
      <c r="BZ34" s="5">
        <v>0</v>
      </c>
      <c r="CA34" s="5">
        <v>0</v>
      </c>
      <c r="CB34" s="5">
        <v>0</v>
      </c>
      <c r="CC34" s="5">
        <v>0</v>
      </c>
      <c r="CD34" s="5">
        <v>0</v>
      </c>
      <c r="CE34" s="5">
        <v>0</v>
      </c>
      <c r="CF34" s="5">
        <v>0</v>
      </c>
      <c r="CG34" s="5">
        <v>0</v>
      </c>
      <c r="CH34" s="5">
        <v>5787800000000</v>
      </c>
      <c r="CI34" s="5">
        <v>5787800000000</v>
      </c>
      <c r="CJ34" s="5">
        <v>0</v>
      </c>
      <c r="CK34" s="5">
        <v>0</v>
      </c>
      <c r="CL34" s="5">
        <v>0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2618200000000</v>
      </c>
      <c r="DA34" s="5">
        <v>2056300000000</v>
      </c>
      <c r="DB34" s="5">
        <v>113590000000</v>
      </c>
      <c r="DC34" s="5">
        <v>113590000000</v>
      </c>
      <c r="DD34" s="5">
        <v>2922100000000</v>
      </c>
      <c r="DE34" s="5">
        <v>2076700000000</v>
      </c>
      <c r="DF34" s="5">
        <v>34284000000</v>
      </c>
      <c r="DG34" s="5">
        <v>34284000000</v>
      </c>
      <c r="DH34" s="5">
        <v>0</v>
      </c>
      <c r="DI34" s="5">
        <v>0</v>
      </c>
      <c r="DJ34" s="5">
        <v>606990000000</v>
      </c>
      <c r="DK34" s="5">
        <v>424590000000</v>
      </c>
      <c r="DL34" s="5">
        <v>95946000000</v>
      </c>
      <c r="DM34" s="5">
        <v>68764000000</v>
      </c>
      <c r="DN34" s="5">
        <v>27324000000</v>
      </c>
      <c r="DO34" s="5">
        <v>19321000000</v>
      </c>
      <c r="DP34" s="5">
        <v>485880000000</v>
      </c>
      <c r="DQ34" s="5">
        <v>445160000000</v>
      </c>
      <c r="DR34" s="5">
        <v>1125800000000</v>
      </c>
      <c r="DS34" s="5">
        <v>585060000000</v>
      </c>
      <c r="DT34" s="5">
        <v>289610000000</v>
      </c>
      <c r="DU34" s="5">
        <v>182690000000</v>
      </c>
      <c r="DV34" s="5">
        <v>3303900000000</v>
      </c>
      <c r="DW34" s="5">
        <v>2481200000000</v>
      </c>
      <c r="DX34" s="5">
        <v>1061100000000</v>
      </c>
      <c r="DY34" s="5">
        <v>528420000000</v>
      </c>
      <c r="DZ34" s="5">
        <v>619580000000</v>
      </c>
      <c r="EA34" s="5">
        <v>251670000000</v>
      </c>
      <c r="EB34" s="5">
        <v>1934400000000</v>
      </c>
      <c r="EC34" s="5">
        <v>899680000000</v>
      </c>
      <c r="ED34" s="5">
        <v>987150000000</v>
      </c>
      <c r="EE34" s="5">
        <v>338790000000</v>
      </c>
      <c r="EF34" s="5">
        <v>3354400000000</v>
      </c>
      <c r="EG34" s="5">
        <v>2033100000000</v>
      </c>
      <c r="EH34" s="5">
        <v>4099000000000</v>
      </c>
      <c r="EI34" s="5">
        <v>1280100000000</v>
      </c>
      <c r="EJ34" s="5">
        <v>2866600000000</v>
      </c>
      <c r="EK34" s="5">
        <v>625200000000</v>
      </c>
      <c r="EL34" s="5">
        <v>3529200000000</v>
      </c>
      <c r="EM34" s="5">
        <v>560440000000</v>
      </c>
      <c r="EN34" s="5">
        <v>5338700000000</v>
      </c>
      <c r="EO34" s="5">
        <v>925190000000</v>
      </c>
      <c r="EP34" s="5">
        <v>51902000000</v>
      </c>
      <c r="EQ34" s="5">
        <v>223180000</v>
      </c>
    </row>
    <row r="35" spans="1:147">
      <c r="A35" s="5"/>
      <c r="B35" s="5"/>
      <c r="C35" s="5"/>
      <c r="D35" s="5"/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0</v>
      </c>
      <c r="BA35" s="5">
        <v>0</v>
      </c>
      <c r="BB35" s="5">
        <v>0</v>
      </c>
      <c r="BC35" s="5">
        <v>0</v>
      </c>
      <c r="BD35" s="5">
        <v>0</v>
      </c>
      <c r="BE35" s="5">
        <v>0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13452000000000</v>
      </c>
      <c r="BQ35" s="5">
        <v>13452000000000</v>
      </c>
      <c r="BR35" s="5">
        <v>0</v>
      </c>
      <c r="BS35" s="5">
        <v>0</v>
      </c>
      <c r="BT35" s="5">
        <v>0</v>
      </c>
      <c r="BU35" s="5">
        <v>0</v>
      </c>
      <c r="BV35" s="5">
        <v>0</v>
      </c>
      <c r="BW35" s="5">
        <v>0</v>
      </c>
      <c r="BX35" s="5">
        <v>0</v>
      </c>
      <c r="BY35" s="5">
        <v>0</v>
      </c>
      <c r="BZ35" s="5">
        <v>0</v>
      </c>
      <c r="CA35" s="5">
        <v>0</v>
      </c>
      <c r="CB35" s="5">
        <v>0</v>
      </c>
      <c r="CC35" s="5">
        <v>0</v>
      </c>
      <c r="CD35" s="5">
        <v>0</v>
      </c>
      <c r="CE35" s="5">
        <v>0</v>
      </c>
      <c r="CF35" s="5">
        <v>0</v>
      </c>
      <c r="CG35" s="5">
        <v>0</v>
      </c>
      <c r="CH35" s="5">
        <v>0</v>
      </c>
      <c r="CI35" s="5">
        <v>0</v>
      </c>
      <c r="CJ35" s="5">
        <v>0</v>
      </c>
      <c r="CK35" s="5">
        <v>0</v>
      </c>
      <c r="CL35" s="5">
        <v>0</v>
      </c>
      <c r="CM35" s="5">
        <v>0</v>
      </c>
      <c r="CN35" s="5">
        <v>242890000000</v>
      </c>
      <c r="CO35" s="5">
        <v>242890000000</v>
      </c>
      <c r="CP35" s="5">
        <v>0</v>
      </c>
      <c r="CQ35" s="5">
        <v>0</v>
      </c>
      <c r="CR35" s="5">
        <v>3709400000000</v>
      </c>
      <c r="CS35" s="5">
        <v>3709400000000</v>
      </c>
      <c r="CT35" s="5">
        <v>0</v>
      </c>
      <c r="CU35" s="5">
        <v>0</v>
      </c>
      <c r="CV35" s="5">
        <v>96629000000</v>
      </c>
      <c r="CW35" s="5">
        <v>96629000000</v>
      </c>
      <c r="CX35" s="5">
        <v>0</v>
      </c>
      <c r="CY35" s="5">
        <v>0</v>
      </c>
      <c r="CZ35" s="5">
        <v>155810000000</v>
      </c>
      <c r="DA35" s="5">
        <v>155810000000</v>
      </c>
      <c r="DB35" s="5">
        <v>1257600000000</v>
      </c>
      <c r="DC35" s="5">
        <v>857290000000</v>
      </c>
      <c r="DD35" s="5">
        <v>45548000000</v>
      </c>
      <c r="DE35" s="5">
        <v>45548000000</v>
      </c>
      <c r="DF35" s="5">
        <v>16749000000000</v>
      </c>
      <c r="DG35" s="5">
        <v>16657000000000</v>
      </c>
      <c r="DH35" s="5">
        <v>861520000000</v>
      </c>
      <c r="DI35" s="5">
        <v>800610000000</v>
      </c>
      <c r="DJ35" s="5">
        <v>288750000000</v>
      </c>
      <c r="DK35" s="5">
        <v>228740000000</v>
      </c>
      <c r="DL35" s="5">
        <v>796970000000</v>
      </c>
      <c r="DM35" s="5">
        <v>524800000000</v>
      </c>
      <c r="DN35" s="5">
        <v>79666000000</v>
      </c>
      <c r="DO35" s="5">
        <v>65764000000</v>
      </c>
      <c r="DP35" s="5">
        <v>414740000000</v>
      </c>
      <c r="DQ35" s="5">
        <v>360120000000</v>
      </c>
      <c r="DR35" s="5">
        <v>2547200000000</v>
      </c>
      <c r="DS35" s="5">
        <v>1317700000000</v>
      </c>
      <c r="DT35" s="5">
        <v>430310000000</v>
      </c>
      <c r="DU35" s="5">
        <v>227330000000</v>
      </c>
      <c r="DV35" s="5">
        <v>1782900000000</v>
      </c>
      <c r="DW35" s="5">
        <v>860980000000</v>
      </c>
      <c r="DX35" s="5">
        <v>2017600000000</v>
      </c>
      <c r="DY35" s="5">
        <v>571990000000</v>
      </c>
      <c r="DZ35" s="5">
        <v>2287200000000</v>
      </c>
      <c r="EA35" s="5">
        <v>608380000000</v>
      </c>
      <c r="EB35" s="5">
        <v>2138500000000</v>
      </c>
      <c r="EC35" s="5">
        <v>1021100000000</v>
      </c>
      <c r="ED35" s="5">
        <v>2314000000000</v>
      </c>
      <c r="EE35" s="5">
        <v>603270000000</v>
      </c>
      <c r="EF35" s="5">
        <v>3217800000000</v>
      </c>
      <c r="EG35" s="5">
        <v>646780000000</v>
      </c>
      <c r="EH35" s="5">
        <v>4966200000000</v>
      </c>
      <c r="EI35" s="5">
        <v>1357800000000</v>
      </c>
      <c r="EJ35" s="5">
        <v>3519700000000</v>
      </c>
      <c r="EK35" s="5">
        <v>688450000000</v>
      </c>
      <c r="EL35" s="5">
        <v>6230600000000</v>
      </c>
      <c r="EM35" s="5">
        <v>887860000000</v>
      </c>
      <c r="EN35" s="5">
        <v>8783200000000</v>
      </c>
      <c r="EO35" s="5">
        <v>1025000000000</v>
      </c>
      <c r="EP35" s="5">
        <v>48576000000</v>
      </c>
      <c r="EQ35" s="5">
        <v>208880000</v>
      </c>
    </row>
    <row r="36" spans="1:147">
      <c r="A36" s="5"/>
      <c r="B36" s="5"/>
      <c r="C36" s="5"/>
      <c r="D36" s="5"/>
      <c r="E36" s="5">
        <v>0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0</v>
      </c>
      <c r="BA36" s="5">
        <v>0</v>
      </c>
      <c r="BB36" s="5">
        <v>0</v>
      </c>
      <c r="BC36" s="5">
        <v>0</v>
      </c>
      <c r="BD36" s="5">
        <v>0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5">
        <v>0</v>
      </c>
      <c r="BR36" s="5">
        <v>0</v>
      </c>
      <c r="BS36" s="5">
        <v>0</v>
      </c>
      <c r="BT36" s="5">
        <v>0</v>
      </c>
      <c r="BU36" s="5">
        <v>0</v>
      </c>
      <c r="BV36" s="5">
        <v>0</v>
      </c>
      <c r="BW36" s="5">
        <v>0</v>
      </c>
      <c r="BX36" s="5">
        <v>0</v>
      </c>
      <c r="BY36" s="5">
        <v>0</v>
      </c>
      <c r="BZ36" s="5">
        <v>0</v>
      </c>
      <c r="CA36" s="5">
        <v>0</v>
      </c>
      <c r="CB36" s="5">
        <v>2676100000000</v>
      </c>
      <c r="CC36" s="5">
        <v>2676100000000</v>
      </c>
      <c r="CD36" s="5">
        <v>0</v>
      </c>
      <c r="CE36" s="5">
        <v>0</v>
      </c>
      <c r="CF36" s="5">
        <v>0</v>
      </c>
      <c r="CG36" s="5">
        <v>0</v>
      </c>
      <c r="CH36" s="5">
        <v>0</v>
      </c>
      <c r="CI36" s="5">
        <v>0</v>
      </c>
      <c r="CJ36" s="5">
        <v>0</v>
      </c>
      <c r="CK36" s="5">
        <v>0</v>
      </c>
      <c r="CL36" s="5">
        <v>0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68680000000</v>
      </c>
      <c r="CY36" s="5">
        <v>68680000000</v>
      </c>
      <c r="CZ36" s="5">
        <v>54360000000</v>
      </c>
      <c r="DA36" s="5">
        <v>54360000000</v>
      </c>
      <c r="DB36" s="5">
        <v>43216000000</v>
      </c>
      <c r="DC36" s="5">
        <v>43216000000</v>
      </c>
      <c r="DD36" s="5">
        <v>325180000000</v>
      </c>
      <c r="DE36" s="5">
        <v>325180000000</v>
      </c>
      <c r="DF36" s="5">
        <v>0</v>
      </c>
      <c r="DG36" s="5">
        <v>0</v>
      </c>
      <c r="DH36" s="5">
        <v>1796000000000</v>
      </c>
      <c r="DI36" s="5">
        <v>1095800000000</v>
      </c>
      <c r="DJ36" s="5">
        <v>28528000000</v>
      </c>
      <c r="DK36" s="5">
        <v>28528000000</v>
      </c>
      <c r="DL36" s="5">
        <v>958670000000</v>
      </c>
      <c r="DM36" s="5">
        <v>658800000000</v>
      </c>
      <c r="DN36" s="5">
        <v>547180000000</v>
      </c>
      <c r="DO36" s="5">
        <v>309540000000</v>
      </c>
      <c r="DP36" s="5">
        <v>419080000000</v>
      </c>
      <c r="DQ36" s="5">
        <v>223290000000</v>
      </c>
      <c r="DR36" s="5">
        <v>2456500000000</v>
      </c>
      <c r="DS36" s="5">
        <v>1836500000000</v>
      </c>
      <c r="DT36" s="5">
        <v>2182200000000</v>
      </c>
      <c r="DU36" s="5">
        <v>1066000000000</v>
      </c>
      <c r="DV36" s="5">
        <v>1201800000000</v>
      </c>
      <c r="DW36" s="5">
        <v>372440000000</v>
      </c>
      <c r="DX36" s="5">
        <v>1706400000000</v>
      </c>
      <c r="DY36" s="5">
        <v>461400000000</v>
      </c>
      <c r="DZ36" s="5">
        <v>3332500000000</v>
      </c>
      <c r="EA36" s="5">
        <v>924420000000</v>
      </c>
      <c r="EB36" s="5">
        <v>2407100000000</v>
      </c>
      <c r="EC36" s="5">
        <v>524990000000</v>
      </c>
      <c r="ED36" s="5">
        <v>3513400000000</v>
      </c>
      <c r="EE36" s="5">
        <v>687220000000</v>
      </c>
      <c r="EF36" s="5">
        <v>6384400000000</v>
      </c>
      <c r="EG36" s="5">
        <v>1063000000000</v>
      </c>
      <c r="EH36" s="5">
        <v>5855100000000</v>
      </c>
      <c r="EI36" s="5">
        <v>1011200000000</v>
      </c>
      <c r="EJ36" s="5">
        <v>7225000000000</v>
      </c>
      <c r="EK36" s="5">
        <v>820760000000</v>
      </c>
      <c r="EL36" s="5">
        <v>9401300000000</v>
      </c>
      <c r="EM36" s="5">
        <v>1093400000000</v>
      </c>
      <c r="EN36" s="5">
        <v>8667700000000</v>
      </c>
      <c r="EO36" s="5">
        <v>717680000000</v>
      </c>
      <c r="EP36" s="5">
        <v>45385000000</v>
      </c>
      <c r="EQ36" s="5">
        <v>190620000</v>
      </c>
    </row>
    <row r="37" spans="1:147">
      <c r="A37" s="5"/>
      <c r="B37" s="5"/>
      <c r="C37" s="5"/>
      <c r="D37" s="5"/>
      <c r="E37" s="5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5">
        <v>0</v>
      </c>
      <c r="BR37" s="5">
        <v>0</v>
      </c>
      <c r="BS37" s="5">
        <v>0</v>
      </c>
      <c r="BT37" s="5">
        <v>0</v>
      </c>
      <c r="BU37" s="5">
        <v>0</v>
      </c>
      <c r="BV37" s="5">
        <v>0</v>
      </c>
      <c r="BW37" s="5">
        <v>0</v>
      </c>
      <c r="BX37" s="5">
        <v>0</v>
      </c>
      <c r="BY37" s="5">
        <v>0</v>
      </c>
      <c r="BZ37" s="5">
        <v>0</v>
      </c>
      <c r="CA37" s="5">
        <v>0</v>
      </c>
      <c r="CB37" s="5">
        <v>0</v>
      </c>
      <c r="CC37" s="5">
        <v>0</v>
      </c>
      <c r="CD37" s="5">
        <v>0</v>
      </c>
      <c r="CE37" s="5">
        <v>0</v>
      </c>
      <c r="CF37" s="5">
        <v>0</v>
      </c>
      <c r="CG37" s="5">
        <v>0</v>
      </c>
      <c r="CH37" s="5">
        <v>0</v>
      </c>
      <c r="CI37" s="5">
        <v>0</v>
      </c>
      <c r="CJ37" s="5">
        <v>0</v>
      </c>
      <c r="CK37" s="5">
        <v>0</v>
      </c>
      <c r="CL37" s="5">
        <v>0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76839000000</v>
      </c>
      <c r="CW37" s="5">
        <v>76839000000</v>
      </c>
      <c r="CX37" s="5">
        <v>3398200000000</v>
      </c>
      <c r="CY37" s="5">
        <v>2548300000000</v>
      </c>
      <c r="CZ37" s="5">
        <v>0</v>
      </c>
      <c r="DA37" s="5">
        <v>0</v>
      </c>
      <c r="DB37" s="5">
        <v>491990000000</v>
      </c>
      <c r="DC37" s="5">
        <v>491990000000</v>
      </c>
      <c r="DD37" s="5">
        <v>0</v>
      </c>
      <c r="DE37" s="5">
        <v>0</v>
      </c>
      <c r="DF37" s="5">
        <v>470070000000</v>
      </c>
      <c r="DG37" s="5">
        <v>339430000000</v>
      </c>
      <c r="DH37" s="5">
        <v>1731400000000</v>
      </c>
      <c r="DI37" s="5">
        <v>1655200000000</v>
      </c>
      <c r="DJ37" s="5">
        <v>525800000000</v>
      </c>
      <c r="DK37" s="5">
        <v>402660000000</v>
      </c>
      <c r="DL37" s="5">
        <v>218960000000</v>
      </c>
      <c r="DM37" s="5">
        <v>116570000000</v>
      </c>
      <c r="DN37" s="5">
        <v>422520000000</v>
      </c>
      <c r="DO37" s="5">
        <v>230230000000</v>
      </c>
      <c r="DP37" s="5">
        <v>517700000000</v>
      </c>
      <c r="DQ37" s="5">
        <v>326980000000</v>
      </c>
      <c r="DR37" s="5">
        <v>3321900000000</v>
      </c>
      <c r="DS37" s="5">
        <v>1623100000000</v>
      </c>
      <c r="DT37" s="5">
        <v>3585800000000</v>
      </c>
      <c r="DU37" s="5">
        <v>1453300000000</v>
      </c>
      <c r="DV37" s="5">
        <v>1825700000000</v>
      </c>
      <c r="DW37" s="5">
        <v>614180000000</v>
      </c>
      <c r="DX37" s="5">
        <v>4043000000000</v>
      </c>
      <c r="DY37" s="5">
        <v>813850000000</v>
      </c>
      <c r="DZ37" s="5">
        <v>3542900000000</v>
      </c>
      <c r="EA37" s="5">
        <v>1076000000000</v>
      </c>
      <c r="EB37" s="5">
        <v>6002100000000</v>
      </c>
      <c r="EC37" s="5">
        <v>1372700000000</v>
      </c>
      <c r="ED37" s="5">
        <v>5005100000000</v>
      </c>
      <c r="EE37" s="5">
        <v>862890000000</v>
      </c>
      <c r="EF37" s="5">
        <v>9513300000000</v>
      </c>
      <c r="EG37" s="5">
        <v>1333800000000</v>
      </c>
      <c r="EH37" s="5">
        <v>7192200000000</v>
      </c>
      <c r="EI37" s="5">
        <v>763100000000</v>
      </c>
      <c r="EJ37" s="5">
        <v>9157000000000</v>
      </c>
      <c r="EK37" s="5">
        <v>984380000000</v>
      </c>
      <c r="EL37" s="5">
        <v>14417000000000</v>
      </c>
      <c r="EM37" s="5">
        <v>1188000000000</v>
      </c>
      <c r="EN37" s="5">
        <v>14013000000000</v>
      </c>
      <c r="EO37" s="5">
        <v>1014500000000</v>
      </c>
      <c r="EP37" s="5">
        <v>41453000000</v>
      </c>
      <c r="EQ37" s="5">
        <v>169960000</v>
      </c>
    </row>
    <row r="38" spans="1:147">
      <c r="A38" s="5"/>
      <c r="B38" s="5"/>
      <c r="C38" s="5"/>
      <c r="D38" s="5"/>
      <c r="E38" s="5">
        <v>0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5">
        <v>0</v>
      </c>
      <c r="BR38" s="5">
        <v>0</v>
      </c>
      <c r="BS38" s="5">
        <v>0</v>
      </c>
      <c r="BT38" s="5">
        <v>0</v>
      </c>
      <c r="BU38" s="5">
        <v>0</v>
      </c>
      <c r="BV38" s="5">
        <v>0</v>
      </c>
      <c r="BW38" s="5">
        <v>0</v>
      </c>
      <c r="BX38" s="5">
        <v>0</v>
      </c>
      <c r="BY38" s="5">
        <v>0</v>
      </c>
      <c r="BZ38" s="5">
        <v>0</v>
      </c>
      <c r="CA38" s="5">
        <v>0</v>
      </c>
      <c r="CB38" s="5">
        <v>0</v>
      </c>
      <c r="CC38" s="5">
        <v>0</v>
      </c>
      <c r="CD38" s="5">
        <v>0</v>
      </c>
      <c r="CE38" s="5">
        <v>0</v>
      </c>
      <c r="CF38" s="5">
        <v>0</v>
      </c>
      <c r="CG38" s="5">
        <v>0</v>
      </c>
      <c r="CH38" s="5">
        <v>0</v>
      </c>
      <c r="CI38" s="5">
        <v>0</v>
      </c>
      <c r="CJ38" s="5">
        <v>0</v>
      </c>
      <c r="CK38" s="5">
        <v>0</v>
      </c>
      <c r="CL38" s="5">
        <v>0</v>
      </c>
      <c r="CM38" s="5">
        <v>0</v>
      </c>
      <c r="CN38" s="5">
        <v>2719700000000</v>
      </c>
      <c r="CO38" s="5">
        <v>2719700000000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54456000000</v>
      </c>
      <c r="CY38" s="5">
        <v>54456000000</v>
      </c>
      <c r="CZ38" s="5">
        <v>81132000000</v>
      </c>
      <c r="DA38" s="5">
        <v>81132000000</v>
      </c>
      <c r="DB38" s="5">
        <v>2201100000000</v>
      </c>
      <c r="DC38" s="5">
        <v>1575100000000</v>
      </c>
      <c r="DD38" s="5">
        <v>403980000000</v>
      </c>
      <c r="DE38" s="5">
        <v>377600000000</v>
      </c>
      <c r="DF38" s="5">
        <v>785710000000</v>
      </c>
      <c r="DG38" s="5">
        <v>637910000000</v>
      </c>
      <c r="DH38" s="5">
        <v>17209000000</v>
      </c>
      <c r="DI38" s="5">
        <v>17209000000</v>
      </c>
      <c r="DJ38" s="5">
        <v>890630000000</v>
      </c>
      <c r="DK38" s="5">
        <v>484410000000</v>
      </c>
      <c r="DL38" s="5">
        <v>746420000000</v>
      </c>
      <c r="DM38" s="5">
        <v>432920000000</v>
      </c>
      <c r="DN38" s="5">
        <v>3684500000000</v>
      </c>
      <c r="DO38" s="5">
        <v>1600900000000</v>
      </c>
      <c r="DP38" s="5">
        <v>3761800000000</v>
      </c>
      <c r="DQ38" s="5">
        <v>1459200000000</v>
      </c>
      <c r="DR38" s="5">
        <v>1238600000000</v>
      </c>
      <c r="DS38" s="5">
        <v>647660000000</v>
      </c>
      <c r="DT38" s="5">
        <v>1548300000000</v>
      </c>
      <c r="DU38" s="5">
        <v>440350000000</v>
      </c>
      <c r="DV38" s="5">
        <v>6129400000000</v>
      </c>
      <c r="DW38" s="5">
        <v>1815500000000</v>
      </c>
      <c r="DX38" s="5">
        <v>4161900000000</v>
      </c>
      <c r="DY38" s="5">
        <v>796580000000</v>
      </c>
      <c r="DZ38" s="5">
        <v>5954400000000</v>
      </c>
      <c r="EA38" s="5">
        <v>1277800000000</v>
      </c>
      <c r="EB38" s="5">
        <v>8614800000000</v>
      </c>
      <c r="EC38" s="5">
        <v>1806500000000</v>
      </c>
      <c r="ED38" s="5">
        <v>9528400000000</v>
      </c>
      <c r="EE38" s="5">
        <v>1278700000000</v>
      </c>
      <c r="EF38" s="5">
        <v>12624000000000</v>
      </c>
      <c r="EG38" s="5">
        <v>1315500000000</v>
      </c>
      <c r="EH38" s="5">
        <v>12616000000000</v>
      </c>
      <c r="EI38" s="5">
        <v>1144200000000</v>
      </c>
      <c r="EJ38" s="5">
        <v>19481000000000</v>
      </c>
      <c r="EK38" s="5">
        <v>1533100000000</v>
      </c>
      <c r="EL38" s="5">
        <v>20128000000000</v>
      </c>
      <c r="EM38" s="5">
        <v>1324400000000</v>
      </c>
      <c r="EN38" s="5">
        <v>20986000000000</v>
      </c>
      <c r="EO38" s="5">
        <v>1112300000000</v>
      </c>
      <c r="EP38" s="5">
        <v>37687000000</v>
      </c>
      <c r="EQ38" s="5">
        <v>154520000</v>
      </c>
    </row>
    <row r="39" spans="1:147">
      <c r="A39" s="5"/>
      <c r="B39" s="5"/>
      <c r="C39" s="5"/>
      <c r="D39" s="5"/>
      <c r="E39" s="5">
        <v>0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5">
        <v>0</v>
      </c>
      <c r="BR39" s="5">
        <v>0</v>
      </c>
      <c r="BS39" s="5">
        <v>0</v>
      </c>
      <c r="BT39" s="5">
        <v>0</v>
      </c>
      <c r="BU39" s="5">
        <v>0</v>
      </c>
      <c r="BV39" s="5">
        <v>0</v>
      </c>
      <c r="BW39" s="5">
        <v>0</v>
      </c>
      <c r="BX39" s="5">
        <v>0</v>
      </c>
      <c r="BY39" s="5">
        <v>0</v>
      </c>
      <c r="BZ39" s="5">
        <v>0</v>
      </c>
      <c r="CA39" s="5">
        <v>0</v>
      </c>
      <c r="CB39" s="5">
        <v>0</v>
      </c>
      <c r="CC39" s="5">
        <v>0</v>
      </c>
      <c r="CD39" s="5">
        <v>484920000000</v>
      </c>
      <c r="CE39" s="5">
        <v>484920000000</v>
      </c>
      <c r="CF39" s="5">
        <v>0</v>
      </c>
      <c r="CG39" s="5">
        <v>0</v>
      </c>
      <c r="CH39" s="5">
        <v>2182900000000</v>
      </c>
      <c r="CI39" s="5">
        <v>2182900000000</v>
      </c>
      <c r="CJ39" s="5">
        <v>0</v>
      </c>
      <c r="CK39" s="5">
        <v>0</v>
      </c>
      <c r="CL39" s="5">
        <v>0</v>
      </c>
      <c r="CM39" s="5">
        <v>0</v>
      </c>
      <c r="CN39" s="5">
        <v>0</v>
      </c>
      <c r="CO39" s="5">
        <v>0</v>
      </c>
      <c r="CP39" s="5">
        <v>0</v>
      </c>
      <c r="CQ39" s="5">
        <v>0</v>
      </c>
      <c r="CR39" s="5">
        <v>96735000000</v>
      </c>
      <c r="CS39" s="5">
        <v>96735000000</v>
      </c>
      <c r="CT39" s="5">
        <v>0</v>
      </c>
      <c r="CU39" s="5">
        <v>0</v>
      </c>
      <c r="CV39" s="5">
        <v>85343000000</v>
      </c>
      <c r="CW39" s="5">
        <v>85343000000</v>
      </c>
      <c r="CX39" s="5">
        <v>830830000000</v>
      </c>
      <c r="CY39" s="5">
        <v>672390000000</v>
      </c>
      <c r="CZ39" s="5">
        <v>77142000000</v>
      </c>
      <c r="DA39" s="5">
        <v>54547000000</v>
      </c>
      <c r="DB39" s="5">
        <v>812700000000</v>
      </c>
      <c r="DC39" s="5">
        <v>664870000000</v>
      </c>
      <c r="DD39" s="5">
        <v>1285200000000</v>
      </c>
      <c r="DE39" s="5">
        <v>928840000000</v>
      </c>
      <c r="DF39" s="5">
        <v>14719000000000</v>
      </c>
      <c r="DG39" s="5">
        <v>11068000000000</v>
      </c>
      <c r="DH39" s="5">
        <v>737400000000</v>
      </c>
      <c r="DI39" s="5">
        <v>556890000000</v>
      </c>
      <c r="DJ39" s="5">
        <v>481810000000</v>
      </c>
      <c r="DK39" s="5">
        <v>257240000000</v>
      </c>
      <c r="DL39" s="5">
        <v>4413000000000</v>
      </c>
      <c r="DM39" s="5">
        <v>3592600000000</v>
      </c>
      <c r="DN39" s="5">
        <v>1721100000000</v>
      </c>
      <c r="DO39" s="5">
        <v>608740000000</v>
      </c>
      <c r="DP39" s="5">
        <v>2915500000000</v>
      </c>
      <c r="DQ39" s="5">
        <v>942860000000</v>
      </c>
      <c r="DR39" s="5">
        <v>8872300000000</v>
      </c>
      <c r="DS39" s="5">
        <v>3384800000000</v>
      </c>
      <c r="DT39" s="5">
        <v>5127100000000</v>
      </c>
      <c r="DU39" s="5">
        <v>1431500000000</v>
      </c>
      <c r="DV39" s="5">
        <v>11092000000000</v>
      </c>
      <c r="DW39" s="5">
        <v>2925100000000</v>
      </c>
      <c r="DX39" s="5">
        <v>7599200000000</v>
      </c>
      <c r="DY39" s="5">
        <v>1246300000000</v>
      </c>
      <c r="DZ39" s="5">
        <v>11264000000000</v>
      </c>
      <c r="EA39" s="5">
        <v>1706500000000</v>
      </c>
      <c r="EB39" s="5">
        <v>10756000000000</v>
      </c>
      <c r="EC39" s="5">
        <v>1188600000000</v>
      </c>
      <c r="ED39" s="5">
        <v>16908000000000</v>
      </c>
      <c r="EE39" s="5">
        <v>1963000000000</v>
      </c>
      <c r="EF39" s="5">
        <v>17622000000000</v>
      </c>
      <c r="EG39" s="5">
        <v>1420400000000</v>
      </c>
      <c r="EH39" s="5">
        <v>19155000000000</v>
      </c>
      <c r="EI39" s="5">
        <v>1344700000000</v>
      </c>
      <c r="EJ39" s="5">
        <v>21236000000000</v>
      </c>
      <c r="EK39" s="5">
        <v>1233800000000</v>
      </c>
      <c r="EL39" s="5">
        <v>26384000000000</v>
      </c>
      <c r="EM39" s="5">
        <v>1358800000000</v>
      </c>
      <c r="EN39" s="5">
        <v>26271000000000</v>
      </c>
      <c r="EO39" s="5">
        <v>1192700000000</v>
      </c>
      <c r="EP39" s="5">
        <v>33965000000</v>
      </c>
      <c r="EQ39" s="5">
        <v>135860000</v>
      </c>
    </row>
    <row r="40" spans="1:147">
      <c r="A40" s="5"/>
      <c r="B40" s="5"/>
      <c r="C40" s="5"/>
      <c r="D40" s="5"/>
      <c r="E40" s="5">
        <v>0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0</v>
      </c>
      <c r="BA40" s="5">
        <v>0</v>
      </c>
      <c r="BB40" s="5">
        <v>0</v>
      </c>
      <c r="BC40" s="5">
        <v>0</v>
      </c>
      <c r="BD40" s="5">
        <v>0</v>
      </c>
      <c r="BE40" s="5">
        <v>0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5">
        <v>0</v>
      </c>
      <c r="BR40" s="5">
        <v>0</v>
      </c>
      <c r="BS40" s="5">
        <v>0</v>
      </c>
      <c r="BT40" s="5">
        <v>0</v>
      </c>
      <c r="BU40" s="5">
        <v>0</v>
      </c>
      <c r="BV40" s="5">
        <v>0</v>
      </c>
      <c r="BW40" s="5">
        <v>0</v>
      </c>
      <c r="BX40" s="5">
        <v>0</v>
      </c>
      <c r="BY40" s="5">
        <v>0</v>
      </c>
      <c r="BZ40" s="5">
        <v>0</v>
      </c>
      <c r="CA40" s="5">
        <v>0</v>
      </c>
      <c r="CB40" s="5">
        <v>0</v>
      </c>
      <c r="CC40" s="5">
        <v>0</v>
      </c>
      <c r="CD40" s="5">
        <v>0</v>
      </c>
      <c r="CE40" s="5">
        <v>0</v>
      </c>
      <c r="CF40" s="5">
        <v>0</v>
      </c>
      <c r="CG40" s="5">
        <v>0</v>
      </c>
      <c r="CH40" s="5">
        <v>0</v>
      </c>
      <c r="CI40" s="5">
        <v>0</v>
      </c>
      <c r="CJ40" s="5">
        <v>0</v>
      </c>
      <c r="CK40" s="5">
        <v>0</v>
      </c>
      <c r="CL40" s="5">
        <v>0</v>
      </c>
      <c r="CM40" s="5">
        <v>0</v>
      </c>
      <c r="CN40" s="5">
        <v>0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268090000000</v>
      </c>
      <c r="CY40" s="5">
        <v>268090000000</v>
      </c>
      <c r="CZ40" s="5">
        <v>4512300000000</v>
      </c>
      <c r="DA40" s="5">
        <v>2147900000000</v>
      </c>
      <c r="DB40" s="5">
        <v>1532200000000</v>
      </c>
      <c r="DC40" s="5">
        <v>963150000000</v>
      </c>
      <c r="DD40" s="5">
        <v>223100000000</v>
      </c>
      <c r="DE40" s="5">
        <v>223100000000</v>
      </c>
      <c r="DF40" s="5">
        <v>683170000000</v>
      </c>
      <c r="DG40" s="5">
        <v>544690000000</v>
      </c>
      <c r="DH40" s="5">
        <v>923630000000</v>
      </c>
      <c r="DI40" s="5">
        <v>707230000000</v>
      </c>
      <c r="DJ40" s="5">
        <v>2570100000000</v>
      </c>
      <c r="DK40" s="5">
        <v>1066600000000</v>
      </c>
      <c r="DL40" s="5">
        <v>3905900000000</v>
      </c>
      <c r="DM40" s="5">
        <v>1311200000000</v>
      </c>
      <c r="DN40" s="5">
        <v>4950000000000</v>
      </c>
      <c r="DO40" s="5">
        <v>1590900000000</v>
      </c>
      <c r="DP40" s="5">
        <v>4028000000000</v>
      </c>
      <c r="DQ40" s="5">
        <v>1132700000000</v>
      </c>
      <c r="DR40" s="5">
        <v>7327200000000</v>
      </c>
      <c r="DS40" s="5">
        <v>1614900000000</v>
      </c>
      <c r="DT40" s="5">
        <v>7295700000000</v>
      </c>
      <c r="DU40" s="5">
        <v>1327800000000</v>
      </c>
      <c r="DV40" s="5">
        <v>12273000000000</v>
      </c>
      <c r="DW40" s="5">
        <v>2303700000000</v>
      </c>
      <c r="DX40" s="5">
        <v>15726000000000</v>
      </c>
      <c r="DY40" s="5">
        <v>1910700000000</v>
      </c>
      <c r="DZ40" s="5">
        <v>15208000000000</v>
      </c>
      <c r="EA40" s="5">
        <v>1609000000000</v>
      </c>
      <c r="EB40" s="5">
        <v>18087000000000</v>
      </c>
      <c r="EC40" s="5">
        <v>1564500000000</v>
      </c>
      <c r="ED40" s="5">
        <v>21955000000000</v>
      </c>
      <c r="EE40" s="5">
        <v>1644400000000</v>
      </c>
      <c r="EF40" s="5">
        <v>26799000000000</v>
      </c>
      <c r="EG40" s="5">
        <v>1924200000000</v>
      </c>
      <c r="EH40" s="5">
        <v>27630000000000</v>
      </c>
      <c r="EI40" s="5">
        <v>1633000000000</v>
      </c>
      <c r="EJ40" s="5">
        <v>29218000000000</v>
      </c>
      <c r="EK40" s="5">
        <v>1566100000000</v>
      </c>
      <c r="EL40" s="5">
        <v>32186000000000</v>
      </c>
      <c r="EM40" s="5">
        <v>1406500000000</v>
      </c>
      <c r="EN40" s="5">
        <v>37623000000000</v>
      </c>
      <c r="EO40" s="5">
        <v>1414600000000</v>
      </c>
      <c r="EP40" s="5">
        <v>30669000000</v>
      </c>
      <c r="EQ40" s="5">
        <v>122670000</v>
      </c>
    </row>
    <row r="41" spans="1:147">
      <c r="A41" s="5"/>
      <c r="B41" s="5"/>
      <c r="C41" s="5"/>
      <c r="D41" s="5"/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5">
        <v>0</v>
      </c>
      <c r="BR41" s="5">
        <v>0</v>
      </c>
      <c r="BS41" s="5">
        <v>0</v>
      </c>
      <c r="BT41" s="5">
        <v>0</v>
      </c>
      <c r="BU41" s="5">
        <v>0</v>
      </c>
      <c r="BV41" s="5">
        <v>0</v>
      </c>
      <c r="BW41" s="5">
        <v>0</v>
      </c>
      <c r="BX41" s="5">
        <v>0</v>
      </c>
      <c r="BY41" s="5">
        <v>0</v>
      </c>
      <c r="BZ41" s="5">
        <v>0</v>
      </c>
      <c r="CA41" s="5">
        <v>0</v>
      </c>
      <c r="CB41" s="5">
        <v>0</v>
      </c>
      <c r="CC41" s="5">
        <v>0</v>
      </c>
      <c r="CD41" s="5">
        <v>0</v>
      </c>
      <c r="CE41" s="5">
        <v>0</v>
      </c>
      <c r="CF41" s="5">
        <v>0</v>
      </c>
      <c r="CG41" s="5">
        <v>0</v>
      </c>
      <c r="CH41" s="5">
        <v>0</v>
      </c>
      <c r="CI41" s="5">
        <v>0</v>
      </c>
      <c r="CJ41" s="5">
        <v>0</v>
      </c>
      <c r="CK41" s="5">
        <v>0</v>
      </c>
      <c r="CL41" s="5">
        <v>0</v>
      </c>
      <c r="CM41" s="5">
        <v>0</v>
      </c>
      <c r="CN41" s="5">
        <v>268400000000</v>
      </c>
      <c r="CO41" s="5">
        <v>190590000000</v>
      </c>
      <c r="CP41" s="5">
        <v>96833000000</v>
      </c>
      <c r="CQ41" s="5">
        <v>96833000000</v>
      </c>
      <c r="CR41" s="5">
        <v>76743000000</v>
      </c>
      <c r="CS41" s="5">
        <v>76743000000</v>
      </c>
      <c r="CT41" s="5">
        <v>94206000000</v>
      </c>
      <c r="CU41" s="5">
        <v>94206000000</v>
      </c>
      <c r="CV41" s="5">
        <v>304600000000</v>
      </c>
      <c r="CW41" s="5">
        <v>304600000000</v>
      </c>
      <c r="CX41" s="5">
        <v>173760000000</v>
      </c>
      <c r="CY41" s="5">
        <v>110980000000</v>
      </c>
      <c r="CZ41" s="5">
        <v>650140000000</v>
      </c>
      <c r="DA41" s="5">
        <v>455880000000</v>
      </c>
      <c r="DB41" s="5">
        <v>3363600000000</v>
      </c>
      <c r="DC41" s="5">
        <v>2021900000000</v>
      </c>
      <c r="DD41" s="5">
        <v>1174100000000</v>
      </c>
      <c r="DE41" s="5">
        <v>547580000000</v>
      </c>
      <c r="DF41" s="5">
        <v>6122000000000</v>
      </c>
      <c r="DG41" s="5">
        <v>4106000000000</v>
      </c>
      <c r="DH41" s="5">
        <v>4409300000000</v>
      </c>
      <c r="DI41" s="5">
        <v>1623100000000</v>
      </c>
      <c r="DJ41" s="5">
        <v>4220500000000</v>
      </c>
      <c r="DK41" s="5">
        <v>2113600000000</v>
      </c>
      <c r="DL41" s="5">
        <v>5133500000000</v>
      </c>
      <c r="DM41" s="5">
        <v>1131900000000</v>
      </c>
      <c r="DN41" s="5">
        <v>5776700000000</v>
      </c>
      <c r="DO41" s="5">
        <v>1596100000000</v>
      </c>
      <c r="DP41" s="5">
        <v>7047100000000</v>
      </c>
      <c r="DQ41" s="5">
        <v>1775200000000</v>
      </c>
      <c r="DR41" s="5">
        <v>13316000000000</v>
      </c>
      <c r="DS41" s="5">
        <v>2833700000000</v>
      </c>
      <c r="DT41" s="5">
        <v>13204000000000</v>
      </c>
      <c r="DU41" s="5">
        <v>2176000000000</v>
      </c>
      <c r="DV41" s="5">
        <v>15627000000000</v>
      </c>
      <c r="DW41" s="5">
        <v>2178500000000</v>
      </c>
      <c r="DX41" s="5">
        <v>20507000000000</v>
      </c>
      <c r="DY41" s="5">
        <v>1911300000000</v>
      </c>
      <c r="DZ41" s="5">
        <v>20992000000000</v>
      </c>
      <c r="EA41" s="5">
        <v>1746500000000</v>
      </c>
      <c r="EB41" s="5">
        <v>27583000000000</v>
      </c>
      <c r="EC41" s="5">
        <v>1972200000000</v>
      </c>
      <c r="ED41" s="5">
        <v>29324000000000</v>
      </c>
      <c r="EE41" s="5">
        <v>1832700000000</v>
      </c>
      <c r="EF41" s="5">
        <v>35830000000000</v>
      </c>
      <c r="EG41" s="5">
        <v>1852400000000</v>
      </c>
      <c r="EH41" s="5">
        <v>38692000000000</v>
      </c>
      <c r="EI41" s="5">
        <v>1791400000000</v>
      </c>
      <c r="EJ41" s="5">
        <v>38915000000000</v>
      </c>
      <c r="EK41" s="5">
        <v>1517700000000</v>
      </c>
      <c r="EL41" s="5">
        <v>40445000000000</v>
      </c>
      <c r="EM41" s="5">
        <v>1528800000000</v>
      </c>
      <c r="EN41" s="5">
        <v>42120000000000</v>
      </c>
      <c r="EO41" s="5">
        <v>1284700000000</v>
      </c>
      <c r="EP41" s="5">
        <v>26789000000</v>
      </c>
      <c r="EQ41" s="5">
        <v>107150000</v>
      </c>
    </row>
    <row r="42" spans="1:147">
      <c r="A42" s="5"/>
      <c r="B42" s="5"/>
      <c r="C42" s="5"/>
      <c r="D42" s="5"/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5">
        <v>0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">
        <v>0</v>
      </c>
      <c r="BM42" s="5">
        <v>0</v>
      </c>
      <c r="BN42" s="5">
        <v>0</v>
      </c>
      <c r="BO42" s="5">
        <v>0</v>
      </c>
      <c r="BP42" s="5">
        <v>0</v>
      </c>
      <c r="BQ42" s="5">
        <v>0</v>
      </c>
      <c r="BR42" s="5">
        <v>0</v>
      </c>
      <c r="BS42" s="5">
        <v>0</v>
      </c>
      <c r="BT42" s="5">
        <v>0</v>
      </c>
      <c r="BU42" s="5">
        <v>0</v>
      </c>
      <c r="BV42" s="5">
        <v>0</v>
      </c>
      <c r="BW42" s="5">
        <v>0</v>
      </c>
      <c r="BX42" s="5">
        <v>0</v>
      </c>
      <c r="BY42" s="5">
        <v>0</v>
      </c>
      <c r="BZ42" s="5">
        <v>0</v>
      </c>
      <c r="CA42" s="5">
        <v>0</v>
      </c>
      <c r="CB42" s="5">
        <v>0</v>
      </c>
      <c r="CC42" s="5">
        <v>0</v>
      </c>
      <c r="CD42" s="5">
        <v>0</v>
      </c>
      <c r="CE42" s="5">
        <v>0</v>
      </c>
      <c r="CF42" s="5">
        <v>521250000000</v>
      </c>
      <c r="CG42" s="5">
        <v>521250000000</v>
      </c>
      <c r="CH42" s="5">
        <v>216380000000</v>
      </c>
      <c r="CI42" s="5">
        <v>216380000000</v>
      </c>
      <c r="CJ42" s="5">
        <v>0</v>
      </c>
      <c r="CK42" s="5">
        <v>0</v>
      </c>
      <c r="CL42" s="5">
        <v>2433600000000</v>
      </c>
      <c r="CM42" s="5">
        <v>2037200000000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111220000000</v>
      </c>
      <c r="CU42" s="5">
        <v>78658000000</v>
      </c>
      <c r="CV42" s="5">
        <v>896340000000</v>
      </c>
      <c r="CW42" s="5">
        <v>854210000000</v>
      </c>
      <c r="CX42" s="5">
        <v>5350700000000</v>
      </c>
      <c r="CY42" s="5">
        <v>3599400000000</v>
      </c>
      <c r="CZ42" s="5">
        <v>5328900000000</v>
      </c>
      <c r="DA42" s="5">
        <v>3692400000000</v>
      </c>
      <c r="DB42" s="5">
        <v>1361400000000</v>
      </c>
      <c r="DC42" s="5">
        <v>693360000000</v>
      </c>
      <c r="DD42" s="5">
        <v>5372000000000</v>
      </c>
      <c r="DE42" s="5">
        <v>3625600000000</v>
      </c>
      <c r="DF42" s="5">
        <v>3838900000000</v>
      </c>
      <c r="DG42" s="5">
        <v>1324400000000</v>
      </c>
      <c r="DH42" s="5">
        <v>3819100000000</v>
      </c>
      <c r="DI42" s="5">
        <v>1525700000000</v>
      </c>
      <c r="DJ42" s="5">
        <v>6530300000000</v>
      </c>
      <c r="DK42" s="5">
        <v>1247900000000</v>
      </c>
      <c r="DL42" s="5">
        <v>5484000000000</v>
      </c>
      <c r="DM42" s="5">
        <v>1741200000000</v>
      </c>
      <c r="DN42" s="5">
        <v>7961500000000</v>
      </c>
      <c r="DO42" s="5">
        <v>1853400000000</v>
      </c>
      <c r="DP42" s="5">
        <v>13021000000000</v>
      </c>
      <c r="DQ42" s="5">
        <v>2324200000000</v>
      </c>
      <c r="DR42" s="5">
        <v>14301000000000</v>
      </c>
      <c r="DS42" s="5">
        <v>1976400000000</v>
      </c>
      <c r="DT42" s="5">
        <v>19793000000000</v>
      </c>
      <c r="DU42" s="5">
        <v>2220700000000</v>
      </c>
      <c r="DV42" s="5">
        <v>25224000000000</v>
      </c>
      <c r="DW42" s="5">
        <v>2653600000000</v>
      </c>
      <c r="DX42" s="5">
        <v>29607000000000</v>
      </c>
      <c r="DY42" s="5">
        <v>2220500000000</v>
      </c>
      <c r="DZ42" s="5">
        <v>35912000000000</v>
      </c>
      <c r="EA42" s="5">
        <v>2305500000000</v>
      </c>
      <c r="EB42" s="5">
        <v>37188000000000</v>
      </c>
      <c r="EC42" s="5">
        <v>2261100000000</v>
      </c>
      <c r="ED42" s="5">
        <v>42237000000000</v>
      </c>
      <c r="EE42" s="5">
        <v>2259700000000</v>
      </c>
      <c r="EF42" s="5">
        <v>45458000000000</v>
      </c>
      <c r="EG42" s="5">
        <v>1827400000000</v>
      </c>
      <c r="EH42" s="5">
        <v>52703000000000</v>
      </c>
      <c r="EI42" s="5">
        <v>2097600000000</v>
      </c>
      <c r="EJ42" s="5">
        <v>51064000000000</v>
      </c>
      <c r="EK42" s="5">
        <v>1838300000000</v>
      </c>
      <c r="EL42" s="5">
        <v>49002000000000</v>
      </c>
      <c r="EM42" s="5">
        <v>1391700000000</v>
      </c>
      <c r="EN42" s="5">
        <v>46647000000000</v>
      </c>
      <c r="EO42" s="5">
        <v>1203500000000</v>
      </c>
      <c r="EP42" s="5">
        <v>23297000000</v>
      </c>
      <c r="EQ42" s="5">
        <v>95518000</v>
      </c>
    </row>
    <row r="43" spans="1:147">
      <c r="A43" s="5"/>
      <c r="B43" s="5"/>
      <c r="C43" s="5"/>
      <c r="D43" s="5"/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">
        <v>0</v>
      </c>
      <c r="BM43" s="5">
        <v>0</v>
      </c>
      <c r="BN43" s="5">
        <v>0</v>
      </c>
      <c r="BO43" s="5">
        <v>0</v>
      </c>
      <c r="BP43" s="5">
        <v>0</v>
      </c>
      <c r="BQ43" s="5">
        <v>0</v>
      </c>
      <c r="BR43" s="5">
        <v>0</v>
      </c>
      <c r="BS43" s="5">
        <v>0</v>
      </c>
      <c r="BT43" s="5">
        <v>0</v>
      </c>
      <c r="BU43" s="5">
        <v>0</v>
      </c>
      <c r="BV43" s="5">
        <v>0</v>
      </c>
      <c r="BW43" s="5">
        <v>0</v>
      </c>
      <c r="BX43" s="5">
        <v>0</v>
      </c>
      <c r="BY43" s="5">
        <v>0</v>
      </c>
      <c r="BZ43" s="5">
        <v>0</v>
      </c>
      <c r="CA43" s="5">
        <v>0</v>
      </c>
      <c r="CB43" s="5">
        <v>0</v>
      </c>
      <c r="CC43" s="5">
        <v>0</v>
      </c>
      <c r="CD43" s="5">
        <v>0</v>
      </c>
      <c r="CE43" s="5">
        <v>0</v>
      </c>
      <c r="CF43" s="5">
        <v>3360200000000</v>
      </c>
      <c r="CG43" s="5">
        <v>3360200000000</v>
      </c>
      <c r="CH43" s="5">
        <v>0</v>
      </c>
      <c r="CI43" s="5">
        <v>0</v>
      </c>
      <c r="CJ43" s="5">
        <v>0</v>
      </c>
      <c r="CK43" s="5">
        <v>0</v>
      </c>
      <c r="CL43" s="5">
        <v>0</v>
      </c>
      <c r="CM43" s="5">
        <v>0</v>
      </c>
      <c r="CN43" s="5">
        <v>3064500000000</v>
      </c>
      <c r="CO43" s="5">
        <v>3064500000000</v>
      </c>
      <c r="CP43" s="5">
        <v>153670000000</v>
      </c>
      <c r="CQ43" s="5">
        <v>108660000000</v>
      </c>
      <c r="CR43" s="5">
        <v>1405600000000</v>
      </c>
      <c r="CS43" s="5">
        <v>1223800000000</v>
      </c>
      <c r="CT43" s="5">
        <v>5742800000000</v>
      </c>
      <c r="CU43" s="5">
        <v>5742800000000</v>
      </c>
      <c r="CV43" s="5">
        <v>2334500000000</v>
      </c>
      <c r="CW43" s="5">
        <v>1721900000000</v>
      </c>
      <c r="CX43" s="5">
        <v>10088000000000</v>
      </c>
      <c r="CY43" s="5">
        <v>6736000000000</v>
      </c>
      <c r="CZ43" s="5">
        <v>2283900000000</v>
      </c>
      <c r="DA43" s="5">
        <v>910380000000</v>
      </c>
      <c r="DB43" s="5">
        <v>6559500000000</v>
      </c>
      <c r="DC43" s="5">
        <v>2586400000000</v>
      </c>
      <c r="DD43" s="5">
        <v>4184200000000</v>
      </c>
      <c r="DE43" s="5">
        <v>1448600000000</v>
      </c>
      <c r="DF43" s="5">
        <v>5041400000000</v>
      </c>
      <c r="DG43" s="5">
        <v>2526300000000</v>
      </c>
      <c r="DH43" s="5">
        <v>7171800000000</v>
      </c>
      <c r="DI43" s="5">
        <v>2660000000000</v>
      </c>
      <c r="DJ43" s="5">
        <v>8147200000000</v>
      </c>
      <c r="DK43" s="5">
        <v>1770400000000</v>
      </c>
      <c r="DL43" s="5">
        <v>10355000000000</v>
      </c>
      <c r="DM43" s="5">
        <v>1963300000000</v>
      </c>
      <c r="DN43" s="5">
        <v>19014000000000</v>
      </c>
      <c r="DO43" s="5">
        <v>3337000000000</v>
      </c>
      <c r="DP43" s="5">
        <v>23250000000000</v>
      </c>
      <c r="DQ43" s="5">
        <v>4643100000000</v>
      </c>
      <c r="DR43" s="5">
        <v>22493000000000</v>
      </c>
      <c r="DS43" s="5">
        <v>2406700000000</v>
      </c>
      <c r="DT43" s="5">
        <v>33220000000000</v>
      </c>
      <c r="DU43" s="5">
        <v>3461500000000</v>
      </c>
      <c r="DV43" s="5">
        <v>38861000000000</v>
      </c>
      <c r="DW43" s="5">
        <v>3237100000000</v>
      </c>
      <c r="DX43" s="5">
        <v>44928000000000</v>
      </c>
      <c r="DY43" s="5">
        <v>2772000000000</v>
      </c>
      <c r="DZ43" s="5">
        <v>46556000000000</v>
      </c>
      <c r="EA43" s="5">
        <v>2425500000000</v>
      </c>
      <c r="EB43" s="5">
        <v>54485000000000</v>
      </c>
      <c r="EC43" s="5">
        <v>2871400000000</v>
      </c>
      <c r="ED43" s="5">
        <v>58022000000000</v>
      </c>
      <c r="EE43" s="5">
        <v>2431100000000</v>
      </c>
      <c r="EF43" s="5">
        <v>58041000000000</v>
      </c>
      <c r="EG43" s="5">
        <v>2072100000000</v>
      </c>
      <c r="EH43" s="5">
        <v>57006000000000</v>
      </c>
      <c r="EI43" s="5">
        <v>1772900000000</v>
      </c>
      <c r="EJ43" s="5">
        <v>63560000000000</v>
      </c>
      <c r="EK43" s="5">
        <v>1875000000000</v>
      </c>
      <c r="EL43" s="5">
        <v>59170000000000</v>
      </c>
      <c r="EM43" s="5">
        <v>1568000000000</v>
      </c>
      <c r="EN43" s="5">
        <v>53609000000000</v>
      </c>
      <c r="EO43" s="5">
        <v>1259800000000</v>
      </c>
      <c r="EP43" s="5">
        <v>19914000000</v>
      </c>
      <c r="EQ43" s="5">
        <v>81648000</v>
      </c>
    </row>
    <row r="44" spans="1:147">
      <c r="A44" s="5"/>
      <c r="B44" s="5"/>
      <c r="C44" s="5"/>
      <c r="D44" s="5"/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">
        <v>0</v>
      </c>
      <c r="BM44" s="5">
        <v>0</v>
      </c>
      <c r="BN44" s="5">
        <v>0</v>
      </c>
      <c r="BO44" s="5">
        <v>0</v>
      </c>
      <c r="BP44" s="5">
        <v>0</v>
      </c>
      <c r="BQ44" s="5">
        <v>0</v>
      </c>
      <c r="BR44" s="5">
        <v>0</v>
      </c>
      <c r="BS44" s="5">
        <v>0</v>
      </c>
      <c r="BT44" s="5">
        <v>0</v>
      </c>
      <c r="BU44" s="5">
        <v>0</v>
      </c>
      <c r="BV44" s="5">
        <v>0</v>
      </c>
      <c r="BW44" s="5">
        <v>0</v>
      </c>
      <c r="BX44" s="5">
        <v>0</v>
      </c>
      <c r="BY44" s="5">
        <v>0</v>
      </c>
      <c r="BZ44" s="5">
        <v>0</v>
      </c>
      <c r="CA44" s="5">
        <v>0</v>
      </c>
      <c r="CB44" s="5">
        <v>0</v>
      </c>
      <c r="CC44" s="5">
        <v>0</v>
      </c>
      <c r="CD44" s="5">
        <v>272460000000</v>
      </c>
      <c r="CE44" s="5">
        <v>272460000000</v>
      </c>
      <c r="CF44" s="5">
        <v>675560000000</v>
      </c>
      <c r="CG44" s="5">
        <v>675560000000</v>
      </c>
      <c r="CH44" s="5">
        <v>172060000000</v>
      </c>
      <c r="CI44" s="5">
        <v>172060000000</v>
      </c>
      <c r="CJ44" s="5">
        <v>0</v>
      </c>
      <c r="CK44" s="5">
        <v>0</v>
      </c>
      <c r="CL44" s="5">
        <v>0</v>
      </c>
      <c r="CM44" s="5">
        <v>0</v>
      </c>
      <c r="CN44" s="5">
        <v>0</v>
      </c>
      <c r="CO44" s="5">
        <v>0</v>
      </c>
      <c r="CP44" s="5">
        <v>298890000000</v>
      </c>
      <c r="CQ44" s="5">
        <v>188720000000</v>
      </c>
      <c r="CR44" s="5">
        <v>114370000000</v>
      </c>
      <c r="CS44" s="5">
        <v>80959000000</v>
      </c>
      <c r="CT44" s="5">
        <v>1977600000000</v>
      </c>
      <c r="CU44" s="5">
        <v>1892100000000</v>
      </c>
      <c r="CV44" s="5">
        <v>109700000000</v>
      </c>
      <c r="CW44" s="5">
        <v>63569000000</v>
      </c>
      <c r="CX44" s="5">
        <v>2097000000000</v>
      </c>
      <c r="CY44" s="5">
        <v>980960000000</v>
      </c>
      <c r="CZ44" s="5">
        <v>5212000000000</v>
      </c>
      <c r="DA44" s="5">
        <v>1817400000000</v>
      </c>
      <c r="DB44" s="5">
        <v>4238700000000</v>
      </c>
      <c r="DC44" s="5">
        <v>1361100000000</v>
      </c>
      <c r="DD44" s="5">
        <v>6924800000000</v>
      </c>
      <c r="DE44" s="5">
        <v>2155000000000</v>
      </c>
      <c r="DF44" s="5">
        <v>7499700000000</v>
      </c>
      <c r="DG44" s="5">
        <v>2186200000000</v>
      </c>
      <c r="DH44" s="5">
        <v>11052000000000</v>
      </c>
      <c r="DI44" s="5">
        <v>2329700000000</v>
      </c>
      <c r="DJ44" s="5">
        <v>11901000000000</v>
      </c>
      <c r="DK44" s="5">
        <v>2299200000000</v>
      </c>
      <c r="DL44" s="5">
        <v>20487000000000</v>
      </c>
      <c r="DM44" s="5">
        <v>3665100000000</v>
      </c>
      <c r="DN44" s="5">
        <v>30196000000000</v>
      </c>
      <c r="DO44" s="5">
        <v>6742700000000</v>
      </c>
      <c r="DP44" s="5">
        <v>31154000000000</v>
      </c>
      <c r="DQ44" s="5">
        <v>3626400000000</v>
      </c>
      <c r="DR44" s="5">
        <v>39054000000000</v>
      </c>
      <c r="DS44" s="5">
        <v>3421200000000</v>
      </c>
      <c r="DT44" s="5">
        <v>46330000000000</v>
      </c>
      <c r="DU44" s="5">
        <v>4424500000000</v>
      </c>
      <c r="DV44" s="5">
        <v>47525000000000</v>
      </c>
      <c r="DW44" s="5">
        <v>2960800000000</v>
      </c>
      <c r="DX44" s="5">
        <v>53382000000000</v>
      </c>
      <c r="DY44" s="5">
        <v>2802600000000</v>
      </c>
      <c r="DZ44" s="5">
        <v>63025000000000</v>
      </c>
      <c r="EA44" s="5">
        <v>2779400000000</v>
      </c>
      <c r="EB44" s="5">
        <v>68474000000000</v>
      </c>
      <c r="EC44" s="5">
        <v>2567800000000</v>
      </c>
      <c r="ED44" s="5">
        <v>66246000000000</v>
      </c>
      <c r="EE44" s="5">
        <v>2133100000000</v>
      </c>
      <c r="EF44" s="5">
        <v>71678000000000</v>
      </c>
      <c r="EG44" s="5">
        <v>2121700000000</v>
      </c>
      <c r="EH44" s="5">
        <v>71296000000000</v>
      </c>
      <c r="EI44" s="5">
        <v>1910700000000</v>
      </c>
      <c r="EJ44" s="5">
        <v>68166000000000</v>
      </c>
      <c r="EK44" s="5">
        <v>1615500000000</v>
      </c>
      <c r="EL44" s="5">
        <v>63960000000000</v>
      </c>
      <c r="EM44" s="5">
        <v>1400700000000</v>
      </c>
      <c r="EN44" s="5">
        <v>56012000000000</v>
      </c>
      <c r="EO44" s="5">
        <v>1153800000000</v>
      </c>
      <c r="EP44" s="5">
        <v>16740000000</v>
      </c>
      <c r="EQ44" s="5">
        <v>70308000</v>
      </c>
    </row>
    <row r="45" spans="1:147">
      <c r="A45" s="5"/>
      <c r="B45" s="5"/>
      <c r="C45" s="5"/>
      <c r="D45" s="5"/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5">
        <v>0</v>
      </c>
      <c r="BR45" s="5">
        <v>0</v>
      </c>
      <c r="BS45" s="5">
        <v>0</v>
      </c>
      <c r="BT45" s="5">
        <v>0</v>
      </c>
      <c r="BU45" s="5">
        <v>0</v>
      </c>
      <c r="BV45" s="5">
        <v>0</v>
      </c>
      <c r="BW45" s="5">
        <v>0</v>
      </c>
      <c r="BX45" s="5">
        <v>0</v>
      </c>
      <c r="BY45" s="5">
        <v>0</v>
      </c>
      <c r="BZ45" s="5">
        <v>0</v>
      </c>
      <c r="CA45" s="5">
        <v>0</v>
      </c>
      <c r="CB45" s="5">
        <v>305740000000</v>
      </c>
      <c r="CC45" s="5">
        <v>305740000000</v>
      </c>
      <c r="CD45" s="5">
        <v>0</v>
      </c>
      <c r="CE45" s="5">
        <v>0</v>
      </c>
      <c r="CF45" s="5">
        <v>724220000000</v>
      </c>
      <c r="CG45" s="5">
        <v>724220000000</v>
      </c>
      <c r="CH45" s="5">
        <v>0</v>
      </c>
      <c r="CI45" s="5">
        <v>0</v>
      </c>
      <c r="CJ45" s="5">
        <v>6231700000000</v>
      </c>
      <c r="CK45" s="5">
        <v>6231700000000</v>
      </c>
      <c r="CL45" s="5">
        <v>387210000000</v>
      </c>
      <c r="CM45" s="5">
        <v>387210000000</v>
      </c>
      <c r="CN45" s="5">
        <v>2896300000000</v>
      </c>
      <c r="CO45" s="5">
        <v>1399800000000</v>
      </c>
      <c r="CP45" s="5">
        <v>1062400000000</v>
      </c>
      <c r="CQ45" s="5">
        <v>1003200000000</v>
      </c>
      <c r="CR45" s="5">
        <v>1427300000000</v>
      </c>
      <c r="CS45" s="5">
        <v>1379800000000</v>
      </c>
      <c r="CT45" s="5">
        <v>6766800000000</v>
      </c>
      <c r="CU45" s="5">
        <v>6645000000000</v>
      </c>
      <c r="CV45" s="5">
        <v>3270000000000</v>
      </c>
      <c r="CW45" s="5">
        <v>1346900000000</v>
      </c>
      <c r="CX45" s="5">
        <v>10223000000000</v>
      </c>
      <c r="CY45" s="5">
        <v>5832500000000</v>
      </c>
      <c r="CZ45" s="5">
        <v>7215800000000</v>
      </c>
      <c r="DA45" s="5">
        <v>3021300000000</v>
      </c>
      <c r="DB45" s="5">
        <v>8005100000000</v>
      </c>
      <c r="DC45" s="5">
        <v>2141400000000</v>
      </c>
      <c r="DD45" s="5">
        <v>5384900000000</v>
      </c>
      <c r="DE45" s="5">
        <v>1348400000000</v>
      </c>
      <c r="DF45" s="5">
        <v>12796000000000</v>
      </c>
      <c r="DG45" s="5">
        <v>2275200000000</v>
      </c>
      <c r="DH45" s="5">
        <v>19429000000000</v>
      </c>
      <c r="DI45" s="5">
        <v>3617700000000</v>
      </c>
      <c r="DJ45" s="5">
        <v>23497000000000</v>
      </c>
      <c r="DK45" s="5">
        <v>3345900000000</v>
      </c>
      <c r="DL45" s="5">
        <v>23593000000000</v>
      </c>
      <c r="DM45" s="5">
        <v>2684900000000</v>
      </c>
      <c r="DN45" s="5">
        <v>38531000000000</v>
      </c>
      <c r="DO45" s="5">
        <v>3652700000000</v>
      </c>
      <c r="DP45" s="5">
        <v>48196000000000</v>
      </c>
      <c r="DQ45" s="5">
        <v>4149700000000</v>
      </c>
      <c r="DR45" s="5">
        <v>49910000000000</v>
      </c>
      <c r="DS45" s="5">
        <v>3219200000000</v>
      </c>
      <c r="DT45" s="5">
        <v>64962000000000</v>
      </c>
      <c r="DU45" s="5">
        <v>4203100000000</v>
      </c>
      <c r="DV45" s="5">
        <v>68025000000000</v>
      </c>
      <c r="DW45" s="5">
        <v>3564500000000</v>
      </c>
      <c r="DX45" s="5">
        <v>77723000000000</v>
      </c>
      <c r="DY45" s="5">
        <v>3474200000000</v>
      </c>
      <c r="DZ45" s="5">
        <v>90409000000000</v>
      </c>
      <c r="EA45" s="5">
        <v>3336100000000</v>
      </c>
      <c r="EB45" s="5">
        <v>85653000000000</v>
      </c>
      <c r="EC45" s="5">
        <v>2715200000000</v>
      </c>
      <c r="ED45" s="5">
        <v>89355000000000</v>
      </c>
      <c r="EE45" s="5">
        <v>2448300000000</v>
      </c>
      <c r="EF45" s="5">
        <v>85679000000000</v>
      </c>
      <c r="EG45" s="5">
        <v>2227700000000</v>
      </c>
      <c r="EH45" s="5">
        <v>82665000000000</v>
      </c>
      <c r="EI45" s="5">
        <v>1868200000000</v>
      </c>
      <c r="EJ45" s="5">
        <v>72835000000000</v>
      </c>
      <c r="EK45" s="5">
        <v>1551400000000</v>
      </c>
      <c r="EL45" s="5">
        <v>66323000000000</v>
      </c>
      <c r="EM45" s="5">
        <v>1319800000000</v>
      </c>
      <c r="EN45" s="5">
        <v>56782000000000</v>
      </c>
      <c r="EO45" s="5">
        <v>1067500000000</v>
      </c>
      <c r="EP45" s="5">
        <v>13923000000</v>
      </c>
      <c r="EQ45" s="5">
        <v>61263000</v>
      </c>
    </row>
    <row r="46" spans="1:147">
      <c r="A46" s="5"/>
      <c r="B46" s="5"/>
      <c r="C46" s="5"/>
      <c r="D46" s="5"/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">
        <v>0</v>
      </c>
      <c r="BM46" s="5">
        <v>0</v>
      </c>
      <c r="BN46" s="5">
        <v>0</v>
      </c>
      <c r="BO46" s="5">
        <v>0</v>
      </c>
      <c r="BP46" s="5">
        <v>0</v>
      </c>
      <c r="BQ46" s="5">
        <v>0</v>
      </c>
      <c r="BR46" s="5">
        <v>0</v>
      </c>
      <c r="BS46" s="5">
        <v>0</v>
      </c>
      <c r="BT46" s="5">
        <v>0</v>
      </c>
      <c r="BU46" s="5">
        <v>0</v>
      </c>
      <c r="BV46" s="5">
        <v>0</v>
      </c>
      <c r="BW46" s="5">
        <v>0</v>
      </c>
      <c r="BX46" s="5">
        <v>0</v>
      </c>
      <c r="BY46" s="5">
        <v>0</v>
      </c>
      <c r="BZ46" s="5">
        <v>0</v>
      </c>
      <c r="CA46" s="5">
        <v>0</v>
      </c>
      <c r="CB46" s="5">
        <v>0</v>
      </c>
      <c r="CC46" s="5">
        <v>0</v>
      </c>
      <c r="CD46" s="5">
        <v>0</v>
      </c>
      <c r="CE46" s="5">
        <v>0</v>
      </c>
      <c r="CF46" s="5">
        <v>0</v>
      </c>
      <c r="CG46" s="5">
        <v>0</v>
      </c>
      <c r="CH46" s="5">
        <v>0</v>
      </c>
      <c r="CI46" s="5">
        <v>0</v>
      </c>
      <c r="CJ46" s="5">
        <v>1713600000000</v>
      </c>
      <c r="CK46" s="5">
        <v>1713600000000</v>
      </c>
      <c r="CL46" s="5">
        <v>7257400000000</v>
      </c>
      <c r="CM46" s="5">
        <v>5115700000000</v>
      </c>
      <c r="CN46" s="5">
        <v>3017800000000</v>
      </c>
      <c r="CO46" s="5">
        <v>2163100000000</v>
      </c>
      <c r="CP46" s="5">
        <v>4106200000000</v>
      </c>
      <c r="CQ46" s="5">
        <v>3998200000000</v>
      </c>
      <c r="CR46" s="5">
        <v>4210900000000</v>
      </c>
      <c r="CS46" s="5">
        <v>2385900000000</v>
      </c>
      <c r="CT46" s="5">
        <v>6389900000000</v>
      </c>
      <c r="CU46" s="5">
        <v>2443500000000</v>
      </c>
      <c r="CV46" s="5">
        <v>2579100000000</v>
      </c>
      <c r="CW46" s="5">
        <v>1394000000000</v>
      </c>
      <c r="CX46" s="5">
        <v>1652500000000</v>
      </c>
      <c r="CY46" s="5">
        <v>577870000000</v>
      </c>
      <c r="CZ46" s="5">
        <v>12153000000000</v>
      </c>
      <c r="DA46" s="5">
        <v>3449100000000</v>
      </c>
      <c r="DB46" s="5">
        <v>12229000000000</v>
      </c>
      <c r="DC46" s="5">
        <v>4357100000000</v>
      </c>
      <c r="DD46" s="5">
        <v>15987000000000</v>
      </c>
      <c r="DE46" s="5">
        <v>3854500000000</v>
      </c>
      <c r="DF46" s="5">
        <v>23211000000000</v>
      </c>
      <c r="DG46" s="5">
        <v>4159400000000</v>
      </c>
      <c r="DH46" s="5">
        <v>32473000000000</v>
      </c>
      <c r="DI46" s="5">
        <v>5569100000000</v>
      </c>
      <c r="DJ46" s="5">
        <v>30186000000000</v>
      </c>
      <c r="DK46" s="5">
        <v>3498600000000</v>
      </c>
      <c r="DL46" s="5">
        <v>43112000000000</v>
      </c>
      <c r="DM46" s="5">
        <v>4156000000000</v>
      </c>
      <c r="DN46" s="5">
        <v>51221000000000</v>
      </c>
      <c r="DO46" s="5">
        <v>4051600000000</v>
      </c>
      <c r="DP46" s="5">
        <v>64574000000000</v>
      </c>
      <c r="DQ46" s="5">
        <v>4720300000000</v>
      </c>
      <c r="DR46" s="5">
        <v>70613000000000</v>
      </c>
      <c r="DS46" s="5">
        <v>3707200000000</v>
      </c>
      <c r="DT46" s="5">
        <v>84546000000000</v>
      </c>
      <c r="DU46" s="5">
        <v>3846800000000</v>
      </c>
      <c r="DV46" s="5">
        <v>96798000000000</v>
      </c>
      <c r="DW46" s="5">
        <v>3852600000000</v>
      </c>
      <c r="DX46" s="5">
        <v>92476000000000</v>
      </c>
      <c r="DY46" s="5">
        <v>3292100000000</v>
      </c>
      <c r="DZ46" s="5">
        <v>104050000000000</v>
      </c>
      <c r="EA46" s="5">
        <v>3142400000000</v>
      </c>
      <c r="EB46" s="5">
        <v>102930000000000</v>
      </c>
      <c r="EC46" s="5">
        <v>3036300000000</v>
      </c>
      <c r="ED46" s="5">
        <v>101750000000000</v>
      </c>
      <c r="EE46" s="5">
        <v>2452200000000</v>
      </c>
      <c r="EF46" s="5">
        <v>96702000000000</v>
      </c>
      <c r="EG46" s="5">
        <v>2166100000000</v>
      </c>
      <c r="EH46" s="5">
        <v>89789000000000</v>
      </c>
      <c r="EI46" s="5">
        <v>1840700000000</v>
      </c>
      <c r="EJ46" s="5">
        <v>79044000000000</v>
      </c>
      <c r="EK46" s="5">
        <v>1549300000000</v>
      </c>
      <c r="EL46" s="5">
        <v>68042000000000</v>
      </c>
      <c r="EM46" s="5">
        <v>1252000000000</v>
      </c>
      <c r="EN46" s="5">
        <v>55708000000000</v>
      </c>
      <c r="EO46" s="5">
        <v>1013900000000</v>
      </c>
      <c r="EP46" s="5">
        <v>11305000000</v>
      </c>
      <c r="EQ46" s="5">
        <v>52002000</v>
      </c>
    </row>
    <row r="47" spans="1:147">
      <c r="A47" s="5"/>
      <c r="B47" s="5"/>
      <c r="C47" s="5"/>
      <c r="D47" s="5"/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">
        <v>0</v>
      </c>
      <c r="BM47" s="5">
        <v>0</v>
      </c>
      <c r="BN47" s="5">
        <v>0</v>
      </c>
      <c r="BO47" s="5">
        <v>0</v>
      </c>
      <c r="BP47" s="5">
        <v>0</v>
      </c>
      <c r="BQ47" s="5">
        <v>0</v>
      </c>
      <c r="BR47" s="5">
        <v>0</v>
      </c>
      <c r="BS47" s="5">
        <v>0</v>
      </c>
      <c r="BT47" s="5">
        <v>0</v>
      </c>
      <c r="BU47" s="5">
        <v>0</v>
      </c>
      <c r="BV47" s="5">
        <v>0</v>
      </c>
      <c r="BW47" s="5">
        <v>0</v>
      </c>
      <c r="BX47" s="5">
        <v>0</v>
      </c>
      <c r="BY47" s="5">
        <v>0</v>
      </c>
      <c r="BZ47" s="5">
        <v>305500000000</v>
      </c>
      <c r="CA47" s="5">
        <v>305500000000</v>
      </c>
      <c r="CB47" s="5">
        <v>2346200000000</v>
      </c>
      <c r="CC47" s="5">
        <v>2346200000000</v>
      </c>
      <c r="CD47" s="5">
        <v>566600000000</v>
      </c>
      <c r="CE47" s="5">
        <v>566600000000</v>
      </c>
      <c r="CF47" s="5">
        <v>0</v>
      </c>
      <c r="CG47" s="5">
        <v>0</v>
      </c>
      <c r="CH47" s="5">
        <v>0</v>
      </c>
      <c r="CI47" s="5">
        <v>0</v>
      </c>
      <c r="CJ47" s="5">
        <v>7965700000000</v>
      </c>
      <c r="CK47" s="5">
        <v>4380400000000</v>
      </c>
      <c r="CL47" s="5">
        <v>1774300000000</v>
      </c>
      <c r="CM47" s="5">
        <v>1308700000000</v>
      </c>
      <c r="CN47" s="5">
        <v>4889300000000</v>
      </c>
      <c r="CO47" s="5">
        <v>3736900000000</v>
      </c>
      <c r="CP47" s="5">
        <v>1972100000000</v>
      </c>
      <c r="CQ47" s="5">
        <v>1156100000000</v>
      </c>
      <c r="CR47" s="5">
        <v>2697700000000</v>
      </c>
      <c r="CS47" s="5">
        <v>1551200000000</v>
      </c>
      <c r="CT47" s="5">
        <v>16961000000000</v>
      </c>
      <c r="CU47" s="5">
        <v>8385500000000</v>
      </c>
      <c r="CV47" s="5">
        <v>7223700000000</v>
      </c>
      <c r="CW47" s="5">
        <v>2339700000000</v>
      </c>
      <c r="CX47" s="5">
        <v>12620000000000</v>
      </c>
      <c r="CY47" s="5">
        <v>2999700000000</v>
      </c>
      <c r="CZ47" s="5">
        <v>20382000000000</v>
      </c>
      <c r="DA47" s="5">
        <v>5753700000000</v>
      </c>
      <c r="DB47" s="5">
        <v>13761000000000</v>
      </c>
      <c r="DC47" s="5">
        <v>3088000000000</v>
      </c>
      <c r="DD47" s="5">
        <v>25776000000000</v>
      </c>
      <c r="DE47" s="5">
        <v>3956700000000</v>
      </c>
      <c r="DF47" s="5">
        <v>32173000000000</v>
      </c>
      <c r="DG47" s="5">
        <v>5807100000000</v>
      </c>
      <c r="DH47" s="5">
        <v>55187000000000</v>
      </c>
      <c r="DI47" s="5">
        <v>9072700000000</v>
      </c>
      <c r="DJ47" s="5">
        <v>51982000000000</v>
      </c>
      <c r="DK47" s="5">
        <v>4626400000000</v>
      </c>
      <c r="DL47" s="5">
        <v>76926000000000</v>
      </c>
      <c r="DM47" s="5">
        <v>6308000000000</v>
      </c>
      <c r="DN47" s="5">
        <v>82067000000000</v>
      </c>
      <c r="DO47" s="5">
        <v>5047100000000</v>
      </c>
      <c r="DP47" s="5">
        <v>91126000000000</v>
      </c>
      <c r="DQ47" s="5">
        <v>4929900000000</v>
      </c>
      <c r="DR47" s="5">
        <v>99425000000000</v>
      </c>
      <c r="DS47" s="5">
        <v>4712700000000</v>
      </c>
      <c r="DT47" s="5">
        <v>111440000000000</v>
      </c>
      <c r="DU47" s="5">
        <v>4613800000000</v>
      </c>
      <c r="DV47" s="5">
        <v>119420000000000</v>
      </c>
      <c r="DW47" s="5">
        <v>4275300000000</v>
      </c>
      <c r="DX47" s="5">
        <v>118450000000000</v>
      </c>
      <c r="DY47" s="5">
        <v>3494200000000</v>
      </c>
      <c r="DZ47" s="5">
        <v>123040000000000</v>
      </c>
      <c r="EA47" s="5">
        <v>3272900000000</v>
      </c>
      <c r="EB47" s="5">
        <v>118140000000000</v>
      </c>
      <c r="EC47" s="5">
        <v>2823500000000</v>
      </c>
      <c r="ED47" s="5">
        <v>111190000000000</v>
      </c>
      <c r="EE47" s="5">
        <v>2390600000000</v>
      </c>
      <c r="EF47" s="5">
        <v>100510000000000</v>
      </c>
      <c r="EG47" s="5">
        <v>2060400000000</v>
      </c>
      <c r="EH47" s="5">
        <v>93764000000000</v>
      </c>
      <c r="EI47" s="5">
        <v>1772100000000</v>
      </c>
      <c r="EJ47" s="5">
        <v>78135000000000</v>
      </c>
      <c r="EK47" s="5">
        <v>1390800000000</v>
      </c>
      <c r="EL47" s="5">
        <v>63439000000000</v>
      </c>
      <c r="EM47" s="5">
        <v>1129200000000</v>
      </c>
      <c r="EN47" s="5">
        <v>48887000000000</v>
      </c>
      <c r="EO47" s="5">
        <v>865300000000</v>
      </c>
      <c r="EP47" s="5">
        <v>9060300000</v>
      </c>
      <c r="EQ47" s="5">
        <v>42584000</v>
      </c>
    </row>
    <row r="48" spans="1:147">
      <c r="A48" s="5"/>
      <c r="B48" s="5"/>
      <c r="C48" s="5"/>
      <c r="D48" s="5"/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">
        <v>0</v>
      </c>
      <c r="BM48" s="5">
        <v>0</v>
      </c>
      <c r="BN48" s="5">
        <v>0</v>
      </c>
      <c r="BO48" s="5">
        <v>0</v>
      </c>
      <c r="BP48" s="5">
        <v>0</v>
      </c>
      <c r="BQ48" s="5">
        <v>0</v>
      </c>
      <c r="BR48" s="5">
        <v>0</v>
      </c>
      <c r="BS48" s="5">
        <v>0</v>
      </c>
      <c r="BT48" s="5">
        <v>0</v>
      </c>
      <c r="BU48" s="5">
        <v>0</v>
      </c>
      <c r="BV48" s="5">
        <v>0</v>
      </c>
      <c r="BW48" s="5">
        <v>0</v>
      </c>
      <c r="BX48" s="5">
        <v>0</v>
      </c>
      <c r="BY48" s="5">
        <v>0</v>
      </c>
      <c r="BZ48" s="5">
        <v>0</v>
      </c>
      <c r="CA48" s="5">
        <v>0</v>
      </c>
      <c r="CB48" s="5">
        <v>0</v>
      </c>
      <c r="CC48" s="5">
        <v>0</v>
      </c>
      <c r="CD48" s="5">
        <v>343760000000</v>
      </c>
      <c r="CE48" s="5">
        <v>243070000000</v>
      </c>
      <c r="CF48" s="5">
        <v>137180000000</v>
      </c>
      <c r="CG48" s="5">
        <v>137180000000</v>
      </c>
      <c r="CH48" s="5">
        <v>268570000000</v>
      </c>
      <c r="CI48" s="5">
        <v>268570000000</v>
      </c>
      <c r="CJ48" s="5">
        <v>312020000000</v>
      </c>
      <c r="CK48" s="5">
        <v>185310000000</v>
      </c>
      <c r="CL48" s="5">
        <v>4305800000000</v>
      </c>
      <c r="CM48" s="5">
        <v>3273700000000</v>
      </c>
      <c r="CN48" s="5">
        <v>1517000000000</v>
      </c>
      <c r="CO48" s="5">
        <v>1324300000000</v>
      </c>
      <c r="CP48" s="5">
        <v>2367700000000</v>
      </c>
      <c r="CQ48" s="5">
        <v>1065200000000</v>
      </c>
      <c r="CR48" s="5">
        <v>11195000000000</v>
      </c>
      <c r="CS48" s="5">
        <v>4477800000000</v>
      </c>
      <c r="CT48" s="5">
        <v>13398000000000</v>
      </c>
      <c r="CU48" s="5">
        <v>8692400000000</v>
      </c>
      <c r="CV48" s="5">
        <v>26264000000000</v>
      </c>
      <c r="CW48" s="5">
        <v>7261900000000</v>
      </c>
      <c r="CX48" s="5">
        <v>24768000000000</v>
      </c>
      <c r="CY48" s="5">
        <v>6367900000000</v>
      </c>
      <c r="CZ48" s="5">
        <v>25683000000000</v>
      </c>
      <c r="DA48" s="5">
        <v>4463700000000</v>
      </c>
      <c r="DB48" s="5">
        <v>37419000000000</v>
      </c>
      <c r="DC48" s="5">
        <v>7184500000000</v>
      </c>
      <c r="DD48" s="5">
        <v>47740000000000</v>
      </c>
      <c r="DE48" s="5">
        <v>6148900000000</v>
      </c>
      <c r="DF48" s="5">
        <v>47645000000000</v>
      </c>
      <c r="DG48" s="5">
        <v>5007400000000</v>
      </c>
      <c r="DH48" s="5">
        <v>62902000000000</v>
      </c>
      <c r="DI48" s="5">
        <v>5573100000000</v>
      </c>
      <c r="DJ48" s="5">
        <v>76139000000000</v>
      </c>
      <c r="DK48" s="5">
        <v>5855100000000</v>
      </c>
      <c r="DL48" s="5">
        <v>97812000000000</v>
      </c>
      <c r="DM48" s="5">
        <v>5643700000000</v>
      </c>
      <c r="DN48" s="5">
        <v>100820000000000</v>
      </c>
      <c r="DO48" s="5">
        <v>5716200000000</v>
      </c>
      <c r="DP48" s="5">
        <v>115730000000000</v>
      </c>
      <c r="DQ48" s="5">
        <v>5172900000000</v>
      </c>
      <c r="DR48" s="5">
        <v>136540000000000</v>
      </c>
      <c r="DS48" s="5">
        <v>5079200000000</v>
      </c>
      <c r="DT48" s="5">
        <v>140150000000000</v>
      </c>
      <c r="DU48" s="5">
        <v>4596900000000</v>
      </c>
      <c r="DV48" s="5">
        <v>155370000000000</v>
      </c>
      <c r="DW48" s="5">
        <v>4257000000000</v>
      </c>
      <c r="DX48" s="5">
        <v>142420000000000</v>
      </c>
      <c r="DY48" s="5">
        <v>3660200000000</v>
      </c>
      <c r="DZ48" s="5">
        <v>142610000000000</v>
      </c>
      <c r="EA48" s="5">
        <v>3265700000000</v>
      </c>
      <c r="EB48" s="5">
        <v>133040000000000</v>
      </c>
      <c r="EC48" s="5">
        <v>2780600000000</v>
      </c>
      <c r="ED48" s="5">
        <v>116460000000000</v>
      </c>
      <c r="EE48" s="5">
        <v>2317600000000</v>
      </c>
      <c r="EF48" s="5">
        <v>99935000000000</v>
      </c>
      <c r="EG48" s="5">
        <v>1758900000000</v>
      </c>
      <c r="EH48" s="5">
        <v>88183000000000</v>
      </c>
      <c r="EI48" s="5">
        <v>1525600000000</v>
      </c>
      <c r="EJ48" s="5">
        <v>72088000000000</v>
      </c>
      <c r="EK48" s="5">
        <v>1247100000000</v>
      </c>
      <c r="EL48" s="5">
        <v>55635000000000</v>
      </c>
      <c r="EM48" s="5">
        <v>945790000000</v>
      </c>
      <c r="EN48" s="5">
        <v>43080000000000</v>
      </c>
      <c r="EO48" s="5">
        <v>762510000000</v>
      </c>
      <c r="EP48" s="5">
        <v>7247400000</v>
      </c>
      <c r="EQ48" s="5">
        <v>36237000</v>
      </c>
    </row>
    <row r="49" spans="1:147">
      <c r="A49" s="5"/>
      <c r="B49" s="5"/>
      <c r="C49" s="5"/>
      <c r="D49" s="5"/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">
        <v>0</v>
      </c>
      <c r="BM49" s="5">
        <v>0</v>
      </c>
      <c r="BN49" s="5">
        <v>0</v>
      </c>
      <c r="BO49" s="5">
        <v>0</v>
      </c>
      <c r="BP49" s="5">
        <v>0</v>
      </c>
      <c r="BQ49" s="5">
        <v>0</v>
      </c>
      <c r="BR49" s="5">
        <v>0</v>
      </c>
      <c r="BS49" s="5">
        <v>0</v>
      </c>
      <c r="BT49" s="5">
        <v>0</v>
      </c>
      <c r="BU49" s="5">
        <v>0</v>
      </c>
      <c r="BV49" s="5">
        <v>0</v>
      </c>
      <c r="BW49" s="5">
        <v>0</v>
      </c>
      <c r="BX49" s="5">
        <v>3340200000000</v>
      </c>
      <c r="BY49" s="5">
        <v>3340200000000</v>
      </c>
      <c r="BZ49" s="5">
        <v>242720000000</v>
      </c>
      <c r="CA49" s="5">
        <v>242720000000</v>
      </c>
      <c r="CB49" s="5">
        <v>336640000000</v>
      </c>
      <c r="CC49" s="5">
        <v>336640000000</v>
      </c>
      <c r="CD49" s="5">
        <v>169940000000</v>
      </c>
      <c r="CE49" s="5">
        <v>169940000000</v>
      </c>
      <c r="CF49" s="5">
        <v>17623000000000</v>
      </c>
      <c r="CG49" s="5">
        <v>17149000000000</v>
      </c>
      <c r="CH49" s="5">
        <v>2837300000000</v>
      </c>
      <c r="CI49" s="5">
        <v>2088000000000</v>
      </c>
      <c r="CJ49" s="5">
        <v>17515000000000</v>
      </c>
      <c r="CK49" s="5">
        <v>11138000000000</v>
      </c>
      <c r="CL49" s="5">
        <v>19816000000000</v>
      </c>
      <c r="CM49" s="5">
        <v>11464000000000</v>
      </c>
      <c r="CN49" s="5">
        <v>9550500000000</v>
      </c>
      <c r="CO49" s="5">
        <v>4926100000000</v>
      </c>
      <c r="CP49" s="5">
        <v>16046000000000</v>
      </c>
      <c r="CQ49" s="5">
        <v>4890700000000</v>
      </c>
      <c r="CR49" s="5">
        <v>7003700000000</v>
      </c>
      <c r="CS49" s="5">
        <v>2611700000000</v>
      </c>
      <c r="CT49" s="5">
        <v>24468000000000</v>
      </c>
      <c r="CU49" s="5">
        <v>12004000000000</v>
      </c>
      <c r="CV49" s="5">
        <v>15064000000000</v>
      </c>
      <c r="CW49" s="5">
        <v>3809800000000</v>
      </c>
      <c r="CX49" s="5">
        <v>37403000000000</v>
      </c>
      <c r="CY49" s="5">
        <v>6351100000000</v>
      </c>
      <c r="CZ49" s="5">
        <v>48816000000000</v>
      </c>
      <c r="DA49" s="5">
        <v>7454200000000</v>
      </c>
      <c r="DB49" s="5">
        <v>53560000000000</v>
      </c>
      <c r="DC49" s="5">
        <v>6855700000000</v>
      </c>
      <c r="DD49" s="5">
        <v>66548000000000</v>
      </c>
      <c r="DE49" s="5">
        <v>6847700000000</v>
      </c>
      <c r="DF49" s="5">
        <v>86148000000000</v>
      </c>
      <c r="DG49" s="5">
        <v>10303000000000</v>
      </c>
      <c r="DH49" s="5">
        <v>99067000000000</v>
      </c>
      <c r="DI49" s="5">
        <v>6835600000000</v>
      </c>
      <c r="DJ49" s="5">
        <v>106280000000000</v>
      </c>
      <c r="DK49" s="5">
        <v>6100400000000</v>
      </c>
      <c r="DL49" s="5">
        <v>123000000000000</v>
      </c>
      <c r="DM49" s="5">
        <v>6014600000000</v>
      </c>
      <c r="DN49" s="5">
        <v>145010000000000</v>
      </c>
      <c r="DO49" s="5">
        <v>6003400000000</v>
      </c>
      <c r="DP49" s="5">
        <v>162410000000000</v>
      </c>
      <c r="DQ49" s="5">
        <v>6074300000000</v>
      </c>
      <c r="DR49" s="5">
        <v>164130000000000</v>
      </c>
      <c r="DS49" s="5">
        <v>5202800000000</v>
      </c>
      <c r="DT49" s="5">
        <v>173600000000000</v>
      </c>
      <c r="DU49" s="5">
        <v>5069000000000</v>
      </c>
      <c r="DV49" s="5">
        <v>167740000000000</v>
      </c>
      <c r="DW49" s="5">
        <v>4344500000000</v>
      </c>
      <c r="DX49" s="5">
        <v>163280000000000</v>
      </c>
      <c r="DY49" s="5">
        <v>3575800000000</v>
      </c>
      <c r="DZ49" s="5">
        <v>152760000000000</v>
      </c>
      <c r="EA49" s="5">
        <v>3131600000000</v>
      </c>
      <c r="EB49" s="5">
        <v>137060000000000</v>
      </c>
      <c r="EC49" s="5">
        <v>2672700000000</v>
      </c>
      <c r="ED49" s="5">
        <v>120170000000000</v>
      </c>
      <c r="EE49" s="5">
        <v>2091000000000</v>
      </c>
      <c r="EF49" s="5">
        <v>100220000000000</v>
      </c>
      <c r="EG49" s="5">
        <v>1723700000000</v>
      </c>
      <c r="EH49" s="5">
        <v>80375000000000</v>
      </c>
      <c r="EI49" s="5">
        <v>1422600000000</v>
      </c>
      <c r="EJ49" s="5">
        <v>64094000000000</v>
      </c>
      <c r="EK49" s="5">
        <v>1108800000000</v>
      </c>
      <c r="EL49" s="5">
        <v>48488000000000</v>
      </c>
      <c r="EM49" s="5">
        <v>843700000000</v>
      </c>
      <c r="EN49" s="5">
        <v>37230000000000</v>
      </c>
      <c r="EO49" s="5">
        <v>655250000000</v>
      </c>
      <c r="EP49" s="5">
        <v>5681200000</v>
      </c>
      <c r="EQ49" s="5">
        <v>30110000</v>
      </c>
    </row>
    <row r="50" spans="1:147">
      <c r="A50" s="5"/>
      <c r="B50" s="5"/>
      <c r="C50" s="5"/>
      <c r="D50" s="5"/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0</v>
      </c>
      <c r="BA50" s="5">
        <v>0</v>
      </c>
      <c r="BB50" s="5">
        <v>0</v>
      </c>
      <c r="BC50" s="5">
        <v>0</v>
      </c>
      <c r="BD50" s="5">
        <v>0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">
        <v>0</v>
      </c>
      <c r="BM50" s="5">
        <v>0</v>
      </c>
      <c r="BN50" s="5">
        <v>0</v>
      </c>
      <c r="BO50" s="5">
        <v>0</v>
      </c>
      <c r="BP50" s="5">
        <v>0</v>
      </c>
      <c r="BQ50" s="5">
        <v>0</v>
      </c>
      <c r="BR50" s="5">
        <v>0</v>
      </c>
      <c r="BS50" s="5">
        <v>0</v>
      </c>
      <c r="BT50" s="5">
        <v>0</v>
      </c>
      <c r="BU50" s="5">
        <v>0</v>
      </c>
      <c r="BV50" s="5">
        <v>343360000000</v>
      </c>
      <c r="BW50" s="5">
        <v>343360000000</v>
      </c>
      <c r="BX50" s="5">
        <v>0</v>
      </c>
      <c r="BY50" s="5">
        <v>0</v>
      </c>
      <c r="BZ50" s="5">
        <v>448010000000</v>
      </c>
      <c r="CA50" s="5">
        <v>316970000000</v>
      </c>
      <c r="CB50" s="5">
        <v>172220000000</v>
      </c>
      <c r="CC50" s="5">
        <v>172220000000</v>
      </c>
      <c r="CD50" s="5">
        <v>1257600000000</v>
      </c>
      <c r="CE50" s="5">
        <v>689920000000</v>
      </c>
      <c r="CF50" s="5">
        <v>6119200000000</v>
      </c>
      <c r="CG50" s="5">
        <v>3333200000000</v>
      </c>
      <c r="CH50" s="5">
        <v>5526000000000</v>
      </c>
      <c r="CI50" s="5">
        <v>2796100000000</v>
      </c>
      <c r="CJ50" s="5">
        <v>6310900000000</v>
      </c>
      <c r="CK50" s="5">
        <v>3231800000000</v>
      </c>
      <c r="CL50" s="5">
        <v>10692000000000</v>
      </c>
      <c r="CM50" s="5">
        <v>5101300000000</v>
      </c>
      <c r="CN50" s="5">
        <v>17647000000000</v>
      </c>
      <c r="CO50" s="5">
        <v>6993600000000</v>
      </c>
      <c r="CP50" s="5">
        <v>22945000000000</v>
      </c>
      <c r="CQ50" s="5">
        <v>6775600000000</v>
      </c>
      <c r="CR50" s="5">
        <v>20368000000000</v>
      </c>
      <c r="CS50" s="5">
        <v>8648500000000</v>
      </c>
      <c r="CT50" s="5">
        <v>27378000000000</v>
      </c>
      <c r="CU50" s="5">
        <v>6313400000000</v>
      </c>
      <c r="CV50" s="5">
        <v>28059000000000</v>
      </c>
      <c r="CW50" s="5">
        <v>4739200000000</v>
      </c>
      <c r="CX50" s="5">
        <v>61310000000000</v>
      </c>
      <c r="CY50" s="5">
        <v>9080100000000</v>
      </c>
      <c r="CZ50" s="5">
        <v>71049000000000</v>
      </c>
      <c r="DA50" s="5">
        <v>9136900000000</v>
      </c>
      <c r="DB50" s="5">
        <v>61423000000000</v>
      </c>
      <c r="DC50" s="5">
        <v>7119000000000</v>
      </c>
      <c r="DD50" s="5">
        <v>79251000000000</v>
      </c>
      <c r="DE50" s="5">
        <v>6712600000000</v>
      </c>
      <c r="DF50" s="5">
        <v>119930000000000</v>
      </c>
      <c r="DG50" s="5">
        <v>9091000000000</v>
      </c>
      <c r="DH50" s="5">
        <v>132850000000000</v>
      </c>
      <c r="DI50" s="5">
        <v>7984100000000</v>
      </c>
      <c r="DJ50" s="5">
        <v>164520000000000</v>
      </c>
      <c r="DK50" s="5">
        <v>7601000000000</v>
      </c>
      <c r="DL50" s="5">
        <v>171990000000000</v>
      </c>
      <c r="DM50" s="5">
        <v>7584900000000</v>
      </c>
      <c r="DN50" s="5">
        <v>193530000000000</v>
      </c>
      <c r="DO50" s="5">
        <v>6599500000000</v>
      </c>
      <c r="DP50" s="5">
        <v>184990000000000</v>
      </c>
      <c r="DQ50" s="5">
        <v>5586600000000</v>
      </c>
      <c r="DR50" s="5">
        <v>203440000000000</v>
      </c>
      <c r="DS50" s="5">
        <v>5309700000000</v>
      </c>
      <c r="DT50" s="5">
        <v>198310000000000</v>
      </c>
      <c r="DU50" s="5">
        <v>4779400000000</v>
      </c>
      <c r="DV50" s="5">
        <v>191580000000000</v>
      </c>
      <c r="DW50" s="5">
        <v>4195700000000</v>
      </c>
      <c r="DX50" s="5">
        <v>176900000000000</v>
      </c>
      <c r="DY50" s="5">
        <v>3520300000000</v>
      </c>
      <c r="DZ50" s="5">
        <v>157540000000000</v>
      </c>
      <c r="EA50" s="5">
        <v>2946100000000</v>
      </c>
      <c r="EB50" s="5">
        <v>140040000000000</v>
      </c>
      <c r="EC50" s="5">
        <v>2506700000000</v>
      </c>
      <c r="ED50" s="5">
        <v>113880000000000</v>
      </c>
      <c r="EE50" s="5">
        <v>1924600000000</v>
      </c>
      <c r="EF50" s="5">
        <v>89963000000000</v>
      </c>
      <c r="EG50" s="5">
        <v>1547400000000</v>
      </c>
      <c r="EH50" s="5">
        <v>71408000000000</v>
      </c>
      <c r="EI50" s="5">
        <v>1199600000000</v>
      </c>
      <c r="EJ50" s="5">
        <v>54419000000000</v>
      </c>
      <c r="EK50" s="5">
        <v>941450000000</v>
      </c>
      <c r="EL50" s="5">
        <v>40763000000000</v>
      </c>
      <c r="EM50" s="5">
        <v>717430000000</v>
      </c>
      <c r="EN50" s="5">
        <v>30513000000000</v>
      </c>
      <c r="EO50" s="5">
        <v>546180000000</v>
      </c>
      <c r="EP50" s="5">
        <v>4482600000</v>
      </c>
      <c r="EQ50" s="5">
        <v>25103000</v>
      </c>
    </row>
    <row r="51" spans="1:147">
      <c r="A51" s="5"/>
      <c r="B51" s="5"/>
      <c r="C51" s="5"/>
      <c r="D51" s="5"/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">
        <v>0</v>
      </c>
      <c r="BM51" s="5">
        <v>0</v>
      </c>
      <c r="BN51" s="5">
        <v>0</v>
      </c>
      <c r="BO51" s="5">
        <v>0</v>
      </c>
      <c r="BP51" s="5">
        <v>0</v>
      </c>
      <c r="BQ51" s="5">
        <v>0</v>
      </c>
      <c r="BR51" s="5">
        <v>0</v>
      </c>
      <c r="BS51" s="5">
        <v>0</v>
      </c>
      <c r="BT51" s="5">
        <v>0</v>
      </c>
      <c r="BU51" s="5">
        <v>0</v>
      </c>
      <c r="BV51" s="5">
        <v>8070900000000</v>
      </c>
      <c r="BW51" s="5">
        <v>8070900000000</v>
      </c>
      <c r="BX51" s="5">
        <v>243720000000</v>
      </c>
      <c r="BY51" s="5">
        <v>243720000000</v>
      </c>
      <c r="BZ51" s="5">
        <v>208490000000</v>
      </c>
      <c r="CA51" s="5">
        <v>208490000000</v>
      </c>
      <c r="CB51" s="5">
        <v>2657200000000</v>
      </c>
      <c r="CC51" s="5">
        <v>2191700000000</v>
      </c>
      <c r="CD51" s="5">
        <v>322780000000</v>
      </c>
      <c r="CE51" s="5">
        <v>234950000000</v>
      </c>
      <c r="CF51" s="5">
        <v>12292000000000</v>
      </c>
      <c r="CG51" s="5">
        <v>8652300000000</v>
      </c>
      <c r="CH51" s="5">
        <v>17616000000000</v>
      </c>
      <c r="CI51" s="5">
        <v>12127000000000</v>
      </c>
      <c r="CJ51" s="5">
        <v>3955000000000</v>
      </c>
      <c r="CK51" s="5">
        <v>2855500000000</v>
      </c>
      <c r="CL51" s="5">
        <v>17530000000000</v>
      </c>
      <c r="CM51" s="5">
        <v>6896100000000</v>
      </c>
      <c r="CN51" s="5">
        <v>17804000000000</v>
      </c>
      <c r="CO51" s="5">
        <v>5749000000000</v>
      </c>
      <c r="CP51" s="5">
        <v>18887000000000</v>
      </c>
      <c r="CQ51" s="5">
        <v>4804800000000</v>
      </c>
      <c r="CR51" s="5">
        <v>24512000000000</v>
      </c>
      <c r="CS51" s="5">
        <v>5174500000000</v>
      </c>
      <c r="CT51" s="5">
        <v>52259000000000</v>
      </c>
      <c r="CU51" s="5">
        <v>8095000000000</v>
      </c>
      <c r="CV51" s="5">
        <v>39713000000000</v>
      </c>
      <c r="CW51" s="5">
        <v>6127800000000</v>
      </c>
      <c r="CX51" s="5">
        <v>68922000000000</v>
      </c>
      <c r="CY51" s="5">
        <v>9717900000000</v>
      </c>
      <c r="CZ51" s="5">
        <v>95602000000000</v>
      </c>
      <c r="DA51" s="5">
        <v>12180000000000</v>
      </c>
      <c r="DB51" s="5">
        <v>98051000000000</v>
      </c>
      <c r="DC51" s="5">
        <v>8363700000000</v>
      </c>
      <c r="DD51" s="5">
        <v>124220000000000</v>
      </c>
      <c r="DE51" s="5">
        <v>9217000000000</v>
      </c>
      <c r="DF51" s="5">
        <v>159260000000000</v>
      </c>
      <c r="DG51" s="5">
        <v>8695600000000</v>
      </c>
      <c r="DH51" s="5">
        <v>167660000000000</v>
      </c>
      <c r="DI51" s="5">
        <v>8215200000000</v>
      </c>
      <c r="DJ51" s="5">
        <v>221000000000000</v>
      </c>
      <c r="DK51" s="5">
        <v>9547000000000</v>
      </c>
      <c r="DL51" s="5">
        <v>217120000000000</v>
      </c>
      <c r="DM51" s="5">
        <v>7555800000000</v>
      </c>
      <c r="DN51" s="5">
        <v>224330000000000</v>
      </c>
      <c r="DO51" s="5">
        <v>6729900000000</v>
      </c>
      <c r="DP51" s="5">
        <v>250980000000000</v>
      </c>
      <c r="DQ51" s="5">
        <v>6349700000000</v>
      </c>
      <c r="DR51" s="5">
        <v>232090000000000</v>
      </c>
      <c r="DS51" s="5">
        <v>5500400000000</v>
      </c>
      <c r="DT51" s="5">
        <v>220880000000000</v>
      </c>
      <c r="DU51" s="5">
        <v>4594300000000</v>
      </c>
      <c r="DV51" s="5">
        <v>202920000000000</v>
      </c>
      <c r="DW51" s="5">
        <v>3977300000000</v>
      </c>
      <c r="DX51" s="5">
        <v>181800000000000</v>
      </c>
      <c r="DY51" s="5">
        <v>3381400000000</v>
      </c>
      <c r="DZ51" s="5">
        <v>158110000000000</v>
      </c>
      <c r="EA51" s="5">
        <v>2703600000000</v>
      </c>
      <c r="EB51" s="5">
        <v>130830000000000</v>
      </c>
      <c r="EC51" s="5">
        <v>2145500000000</v>
      </c>
      <c r="ED51" s="5">
        <v>102880000000000</v>
      </c>
      <c r="EE51" s="5">
        <v>1635800000000</v>
      </c>
      <c r="EF51" s="5">
        <v>79821000000000</v>
      </c>
      <c r="EG51" s="5">
        <v>1372900000000</v>
      </c>
      <c r="EH51" s="5">
        <v>60163000000000</v>
      </c>
      <c r="EI51" s="5">
        <v>1016700000000</v>
      </c>
      <c r="EJ51" s="5">
        <v>45706000000000</v>
      </c>
      <c r="EK51" s="5">
        <v>809000000000</v>
      </c>
      <c r="EL51" s="5">
        <v>34007000000000</v>
      </c>
      <c r="EM51" s="5">
        <v>635930000000</v>
      </c>
      <c r="EN51" s="5">
        <v>26114000000000</v>
      </c>
      <c r="EO51" s="5">
        <v>514440000000</v>
      </c>
      <c r="EP51" s="5">
        <v>3479900000</v>
      </c>
      <c r="EQ51" s="5">
        <v>20880000</v>
      </c>
    </row>
    <row r="52" spans="1:147">
      <c r="A52" s="5"/>
      <c r="B52" s="5"/>
      <c r="C52" s="5"/>
      <c r="D52" s="5"/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0</v>
      </c>
      <c r="BB52" s="5">
        <v>0</v>
      </c>
      <c r="BC52" s="5">
        <v>0</v>
      </c>
      <c r="BD52" s="5">
        <v>86136000000000</v>
      </c>
      <c r="BE52" s="5">
        <v>68806000000000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">
        <v>0</v>
      </c>
      <c r="BM52" s="5">
        <v>0</v>
      </c>
      <c r="BN52" s="5">
        <v>0</v>
      </c>
      <c r="BO52" s="5">
        <v>0</v>
      </c>
      <c r="BP52" s="5">
        <v>0</v>
      </c>
      <c r="BQ52" s="5">
        <v>0</v>
      </c>
      <c r="BR52" s="5">
        <v>0</v>
      </c>
      <c r="BS52" s="5">
        <v>0</v>
      </c>
      <c r="BT52" s="5">
        <v>0</v>
      </c>
      <c r="BU52" s="5">
        <v>0</v>
      </c>
      <c r="BV52" s="5">
        <v>0</v>
      </c>
      <c r="BW52" s="5">
        <v>0</v>
      </c>
      <c r="BX52" s="5">
        <v>4255400000000</v>
      </c>
      <c r="BY52" s="5">
        <v>4015000000000</v>
      </c>
      <c r="BZ52" s="5">
        <v>0</v>
      </c>
      <c r="CA52" s="5">
        <v>0</v>
      </c>
      <c r="CB52" s="5">
        <v>493210000000</v>
      </c>
      <c r="CC52" s="5">
        <v>287690000000</v>
      </c>
      <c r="CD52" s="5">
        <v>17118000000000</v>
      </c>
      <c r="CE52" s="5">
        <v>9295200000000</v>
      </c>
      <c r="CF52" s="5">
        <v>22695000000000</v>
      </c>
      <c r="CG52" s="5">
        <v>9463900000000</v>
      </c>
      <c r="CH52" s="5">
        <v>11045000000000</v>
      </c>
      <c r="CI52" s="5">
        <v>4213500000000</v>
      </c>
      <c r="CJ52" s="5">
        <v>2416500000000</v>
      </c>
      <c r="CK52" s="5">
        <v>1187200000000</v>
      </c>
      <c r="CL52" s="5">
        <v>25371000000000</v>
      </c>
      <c r="CM52" s="5">
        <v>6829800000000</v>
      </c>
      <c r="CN52" s="5">
        <v>29421000000000</v>
      </c>
      <c r="CO52" s="5">
        <v>6704900000000</v>
      </c>
      <c r="CP52" s="5">
        <v>49473000000000</v>
      </c>
      <c r="CQ52" s="5">
        <v>11042000000000</v>
      </c>
      <c r="CR52" s="5">
        <v>54663000000000</v>
      </c>
      <c r="CS52" s="5">
        <v>9227100000000</v>
      </c>
      <c r="CT52" s="5">
        <v>71269000000000</v>
      </c>
      <c r="CU52" s="5">
        <v>9065500000000</v>
      </c>
      <c r="CV52" s="5">
        <v>82546000000000</v>
      </c>
      <c r="CW52" s="5">
        <v>9286400000000</v>
      </c>
      <c r="CX52" s="5">
        <v>118380000000000</v>
      </c>
      <c r="CY52" s="5">
        <v>9718600000000</v>
      </c>
      <c r="CZ52" s="5">
        <v>119310000000000</v>
      </c>
      <c r="DA52" s="5">
        <v>8900600000000</v>
      </c>
      <c r="DB52" s="5">
        <v>141250000000000</v>
      </c>
      <c r="DC52" s="5">
        <v>8672800000000</v>
      </c>
      <c r="DD52" s="5">
        <v>178020000000000</v>
      </c>
      <c r="DE52" s="5">
        <v>9167800000000</v>
      </c>
      <c r="DF52" s="5">
        <v>215170000000000</v>
      </c>
      <c r="DG52" s="5">
        <v>9617900000000</v>
      </c>
      <c r="DH52" s="5">
        <v>244840000000000</v>
      </c>
      <c r="DI52" s="5">
        <v>9475200000000</v>
      </c>
      <c r="DJ52" s="5">
        <v>253900000000000</v>
      </c>
      <c r="DK52" s="5">
        <v>8251800000000</v>
      </c>
      <c r="DL52" s="5">
        <v>269100000000000</v>
      </c>
      <c r="DM52" s="5">
        <v>7777100000000</v>
      </c>
      <c r="DN52" s="5">
        <v>284150000000000</v>
      </c>
      <c r="DO52" s="5">
        <v>7132200000000</v>
      </c>
      <c r="DP52" s="5">
        <v>259060000000000</v>
      </c>
      <c r="DQ52" s="5">
        <v>5984300000000</v>
      </c>
      <c r="DR52" s="5">
        <v>256740000000000</v>
      </c>
      <c r="DS52" s="5">
        <v>5340100000000</v>
      </c>
      <c r="DT52" s="5">
        <v>235080000000000</v>
      </c>
      <c r="DU52" s="5">
        <v>4560600000000</v>
      </c>
      <c r="DV52" s="5">
        <v>211090000000000</v>
      </c>
      <c r="DW52" s="5">
        <v>3715200000000</v>
      </c>
      <c r="DX52" s="5">
        <v>178600000000000</v>
      </c>
      <c r="DY52" s="5">
        <v>3036200000000</v>
      </c>
      <c r="DZ52" s="5">
        <v>146440000000000</v>
      </c>
      <c r="EA52" s="5">
        <v>2357700000000</v>
      </c>
      <c r="EB52" s="5">
        <v>118700000000000</v>
      </c>
      <c r="EC52" s="5">
        <v>1946700000000</v>
      </c>
      <c r="ED52" s="5">
        <v>89676000000000</v>
      </c>
      <c r="EE52" s="5">
        <v>1479700000000</v>
      </c>
      <c r="EF52" s="5">
        <v>66409000000000</v>
      </c>
      <c r="EG52" s="5">
        <v>1155500000000</v>
      </c>
      <c r="EH52" s="5">
        <v>48767000000000</v>
      </c>
      <c r="EI52" s="5">
        <v>863170000000</v>
      </c>
      <c r="EJ52" s="5">
        <v>36637000000000</v>
      </c>
      <c r="EK52" s="5">
        <v>659460000000</v>
      </c>
      <c r="EL52" s="5">
        <v>27282000000000</v>
      </c>
      <c r="EM52" s="5">
        <v>532000000000</v>
      </c>
      <c r="EN52" s="5">
        <v>20330000000000</v>
      </c>
      <c r="EO52" s="5">
        <v>404570000000</v>
      </c>
      <c r="EP52" s="5">
        <v>2639000000</v>
      </c>
      <c r="EQ52" s="5">
        <v>16626000</v>
      </c>
    </row>
    <row r="53" spans="1:147">
      <c r="A53" s="5"/>
      <c r="B53" s="5"/>
      <c r="C53" s="5"/>
      <c r="D53" s="5"/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0</v>
      </c>
      <c r="BC53" s="5">
        <v>0</v>
      </c>
      <c r="BD53" s="5">
        <v>16072000000000</v>
      </c>
      <c r="BE53" s="5">
        <v>16072000000000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">
        <v>0</v>
      </c>
      <c r="BM53" s="5">
        <v>0</v>
      </c>
      <c r="BN53" s="5">
        <v>0</v>
      </c>
      <c r="BO53" s="5">
        <v>0</v>
      </c>
      <c r="BP53" s="5">
        <v>0</v>
      </c>
      <c r="BQ53" s="5">
        <v>0</v>
      </c>
      <c r="BR53" s="5">
        <v>0</v>
      </c>
      <c r="BS53" s="5">
        <v>0</v>
      </c>
      <c r="BT53" s="5">
        <v>0</v>
      </c>
      <c r="BU53" s="5">
        <v>0</v>
      </c>
      <c r="BV53" s="5">
        <v>733040000000</v>
      </c>
      <c r="BW53" s="5">
        <v>423260000000</v>
      </c>
      <c r="BX53" s="5">
        <v>3275700000000</v>
      </c>
      <c r="BY53" s="5">
        <v>2772500000000</v>
      </c>
      <c r="BZ53" s="5">
        <v>5574900000000</v>
      </c>
      <c r="CA53" s="5">
        <v>2966400000000</v>
      </c>
      <c r="CB53" s="5">
        <v>15587000000000</v>
      </c>
      <c r="CC53" s="5">
        <v>12008000000000</v>
      </c>
      <c r="CD53" s="5">
        <v>1298000000000</v>
      </c>
      <c r="CE53" s="5">
        <v>675850000000</v>
      </c>
      <c r="CF53" s="5">
        <v>10361000000000</v>
      </c>
      <c r="CG53" s="5">
        <v>3328900000000</v>
      </c>
      <c r="CH53" s="5">
        <v>20748000000000</v>
      </c>
      <c r="CI53" s="5">
        <v>6741000000000</v>
      </c>
      <c r="CJ53" s="5">
        <v>19688000000000</v>
      </c>
      <c r="CK53" s="5">
        <v>5292100000000</v>
      </c>
      <c r="CL53" s="5">
        <v>33841000000000</v>
      </c>
      <c r="CM53" s="5">
        <v>7753000000000</v>
      </c>
      <c r="CN53" s="5">
        <v>52455000000000</v>
      </c>
      <c r="CO53" s="5">
        <v>10837000000000</v>
      </c>
      <c r="CP53" s="5">
        <v>52621000000000</v>
      </c>
      <c r="CQ53" s="5">
        <v>9077200000000</v>
      </c>
      <c r="CR53" s="5">
        <v>79071000000000</v>
      </c>
      <c r="CS53" s="5">
        <v>11600000000000</v>
      </c>
      <c r="CT53" s="5">
        <v>99721000000000</v>
      </c>
      <c r="CU53" s="5">
        <v>11677000000000</v>
      </c>
      <c r="CV53" s="5">
        <v>111990000000000</v>
      </c>
      <c r="CW53" s="5">
        <v>9575500000000</v>
      </c>
      <c r="CX53" s="5">
        <v>132740000000000</v>
      </c>
      <c r="CY53" s="5">
        <v>10022000000000</v>
      </c>
      <c r="CZ53" s="5">
        <v>171530000000000</v>
      </c>
      <c r="DA53" s="5">
        <v>10995000000000</v>
      </c>
      <c r="DB53" s="5">
        <v>221210000000000</v>
      </c>
      <c r="DC53" s="5">
        <v>11813000000000</v>
      </c>
      <c r="DD53" s="5">
        <v>249080000000000</v>
      </c>
      <c r="DE53" s="5">
        <v>10959000000000</v>
      </c>
      <c r="DF53" s="5">
        <v>261900000000000</v>
      </c>
      <c r="DG53" s="5">
        <v>9847300000000</v>
      </c>
      <c r="DH53" s="5">
        <v>294910000000000</v>
      </c>
      <c r="DI53" s="5">
        <v>10145000000000</v>
      </c>
      <c r="DJ53" s="5">
        <v>318120000000000</v>
      </c>
      <c r="DK53" s="5">
        <v>9798000000000</v>
      </c>
      <c r="DL53" s="5">
        <v>299190000000000</v>
      </c>
      <c r="DM53" s="5">
        <v>7778900000000</v>
      </c>
      <c r="DN53" s="5">
        <v>302820000000000</v>
      </c>
      <c r="DO53" s="5">
        <v>7055700000000</v>
      </c>
      <c r="DP53" s="5">
        <v>297090000000000</v>
      </c>
      <c r="DQ53" s="5">
        <v>6060700000000</v>
      </c>
      <c r="DR53" s="5">
        <v>271370000000000</v>
      </c>
      <c r="DS53" s="5">
        <v>5427300000000</v>
      </c>
      <c r="DT53" s="5">
        <v>240060000000000</v>
      </c>
      <c r="DU53" s="5">
        <v>4249100000000</v>
      </c>
      <c r="DV53" s="5">
        <v>201660000000000</v>
      </c>
      <c r="DW53" s="5">
        <v>3347600000000</v>
      </c>
      <c r="DX53" s="5">
        <v>166250000000000</v>
      </c>
      <c r="DY53" s="5">
        <v>2842900000000</v>
      </c>
      <c r="DZ53" s="5">
        <v>129380000000000</v>
      </c>
      <c r="EA53" s="5">
        <v>2096000000000</v>
      </c>
      <c r="EB53" s="5">
        <v>99813000000000</v>
      </c>
      <c r="EC53" s="5">
        <v>1676900000000</v>
      </c>
      <c r="ED53" s="5">
        <v>72687000000000</v>
      </c>
      <c r="EE53" s="5">
        <v>1228400000000</v>
      </c>
      <c r="EF53" s="5">
        <v>55201000000000</v>
      </c>
      <c r="EG53" s="5">
        <v>977050000000</v>
      </c>
      <c r="EH53" s="5">
        <v>39544000000000</v>
      </c>
      <c r="EI53" s="5">
        <v>727620000000</v>
      </c>
      <c r="EJ53" s="5">
        <v>29515000000000</v>
      </c>
      <c r="EK53" s="5">
        <v>578490000000</v>
      </c>
      <c r="EL53" s="5">
        <v>21350000000000</v>
      </c>
      <c r="EM53" s="5">
        <v>416320000000</v>
      </c>
      <c r="EN53" s="5">
        <v>16594000000000</v>
      </c>
      <c r="EO53" s="5">
        <v>335210000000</v>
      </c>
      <c r="EP53" s="5">
        <v>1984300000</v>
      </c>
      <c r="EQ53" s="5">
        <v>13493000</v>
      </c>
    </row>
    <row r="54" spans="1:147">
      <c r="A54" s="5"/>
      <c r="B54" s="5"/>
      <c r="C54" s="5"/>
      <c r="D54" s="5"/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">
        <v>0</v>
      </c>
      <c r="BM54" s="5">
        <v>0</v>
      </c>
      <c r="BN54" s="5">
        <v>0</v>
      </c>
      <c r="BO54" s="5">
        <v>0</v>
      </c>
      <c r="BP54" s="5">
        <v>1295400000000</v>
      </c>
      <c r="BQ54" s="5">
        <v>747940000000</v>
      </c>
      <c r="BR54" s="5">
        <v>19757000000000</v>
      </c>
      <c r="BS54" s="5">
        <v>19417000000000</v>
      </c>
      <c r="BT54" s="5">
        <v>10519000000000</v>
      </c>
      <c r="BU54" s="5">
        <v>9981300000000</v>
      </c>
      <c r="BV54" s="5">
        <v>9333300000000</v>
      </c>
      <c r="BW54" s="5">
        <v>8298200000000</v>
      </c>
      <c r="BX54" s="5">
        <v>8001100000000</v>
      </c>
      <c r="BY54" s="5">
        <v>3838100000000</v>
      </c>
      <c r="BZ54" s="5">
        <v>5021600000000</v>
      </c>
      <c r="CA54" s="5">
        <v>2523400000000</v>
      </c>
      <c r="CB54" s="5">
        <v>24076000000000</v>
      </c>
      <c r="CC54" s="5">
        <v>16726000000000</v>
      </c>
      <c r="CD54" s="5">
        <v>14451000000000</v>
      </c>
      <c r="CE54" s="5">
        <v>6247100000000</v>
      </c>
      <c r="CF54" s="5">
        <v>55192000000000</v>
      </c>
      <c r="CG54" s="5">
        <v>18357000000000</v>
      </c>
      <c r="CH54" s="5">
        <v>28985000000000</v>
      </c>
      <c r="CI54" s="5">
        <v>7727400000000</v>
      </c>
      <c r="CJ54" s="5">
        <v>50085000000000</v>
      </c>
      <c r="CK54" s="5">
        <v>11870000000000</v>
      </c>
      <c r="CL54" s="5">
        <v>53528000000000</v>
      </c>
      <c r="CM54" s="5">
        <v>12510000000000</v>
      </c>
      <c r="CN54" s="5">
        <v>89656000000000</v>
      </c>
      <c r="CO54" s="5">
        <v>14488000000000</v>
      </c>
      <c r="CP54" s="5">
        <v>126300000000000</v>
      </c>
      <c r="CQ54" s="5">
        <v>14524000000000</v>
      </c>
      <c r="CR54" s="5">
        <v>124350000000000</v>
      </c>
      <c r="CS54" s="5">
        <v>13566000000000</v>
      </c>
      <c r="CT54" s="5">
        <v>132180000000000</v>
      </c>
      <c r="CU54" s="5">
        <v>13482000000000</v>
      </c>
      <c r="CV54" s="5">
        <v>192100000000000</v>
      </c>
      <c r="CW54" s="5">
        <v>14234000000000</v>
      </c>
      <c r="CX54" s="5">
        <v>220420000000000</v>
      </c>
      <c r="CY54" s="5">
        <v>12564000000000</v>
      </c>
      <c r="CZ54" s="5">
        <v>230850000000000</v>
      </c>
      <c r="DA54" s="5">
        <v>11820000000000</v>
      </c>
      <c r="DB54" s="5">
        <v>270600000000000</v>
      </c>
      <c r="DC54" s="5">
        <v>12096000000000</v>
      </c>
      <c r="DD54" s="5">
        <v>326690000000000</v>
      </c>
      <c r="DE54" s="5">
        <v>11696000000000</v>
      </c>
      <c r="DF54" s="5">
        <v>318690000000000</v>
      </c>
      <c r="DG54" s="5">
        <v>10326000000000</v>
      </c>
      <c r="DH54" s="5">
        <v>366290000000000</v>
      </c>
      <c r="DI54" s="5">
        <v>10293000000000</v>
      </c>
      <c r="DJ54" s="5">
        <v>359460000000000</v>
      </c>
      <c r="DK54" s="5">
        <v>8591000000000</v>
      </c>
      <c r="DL54" s="5">
        <v>354890000000000</v>
      </c>
      <c r="DM54" s="5">
        <v>7665600000000</v>
      </c>
      <c r="DN54" s="5">
        <v>344970000000000</v>
      </c>
      <c r="DO54" s="5">
        <v>7071900000000</v>
      </c>
      <c r="DP54" s="5">
        <v>308340000000000</v>
      </c>
      <c r="DQ54" s="5">
        <v>5611700000000</v>
      </c>
      <c r="DR54" s="5">
        <v>266260000000000</v>
      </c>
      <c r="DS54" s="5">
        <v>4686200000000</v>
      </c>
      <c r="DT54" s="5">
        <v>233780000000000</v>
      </c>
      <c r="DU54" s="5">
        <v>3857400000000</v>
      </c>
      <c r="DV54" s="5">
        <v>184370000000000</v>
      </c>
      <c r="DW54" s="5">
        <v>3060500000000</v>
      </c>
      <c r="DX54" s="5">
        <v>144660000000000</v>
      </c>
      <c r="DY54" s="5">
        <v>2372400000000</v>
      </c>
      <c r="DZ54" s="5">
        <v>108860000000000</v>
      </c>
      <c r="EA54" s="5">
        <v>1796300000000</v>
      </c>
      <c r="EB54" s="5">
        <v>82232000000000</v>
      </c>
      <c r="EC54" s="5">
        <v>1439100000000</v>
      </c>
      <c r="ED54" s="5">
        <v>58226000000000</v>
      </c>
      <c r="EE54" s="5">
        <v>1013100000000</v>
      </c>
      <c r="EF54" s="5">
        <v>44748000000000</v>
      </c>
      <c r="EG54" s="5">
        <v>854690000000</v>
      </c>
      <c r="EH54" s="5">
        <v>31663000000000</v>
      </c>
      <c r="EI54" s="5">
        <v>601590000000</v>
      </c>
      <c r="EJ54" s="5">
        <v>22921000000000</v>
      </c>
      <c r="EK54" s="5">
        <v>465300000000</v>
      </c>
      <c r="EL54" s="5">
        <v>17240000000000</v>
      </c>
      <c r="EM54" s="5">
        <v>367200000000</v>
      </c>
      <c r="EN54" s="5">
        <v>12871000000000</v>
      </c>
      <c r="EO54" s="5">
        <v>287020000000</v>
      </c>
      <c r="EP54" s="5">
        <v>1511800000</v>
      </c>
      <c r="EQ54" s="5">
        <v>11036000</v>
      </c>
    </row>
    <row r="55" spans="1:147">
      <c r="A55" s="5"/>
      <c r="B55" s="5"/>
      <c r="C55" s="5"/>
      <c r="D55" s="5"/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0</v>
      </c>
      <c r="BE55" s="5">
        <v>0</v>
      </c>
      <c r="BF55" s="5">
        <v>0</v>
      </c>
      <c r="BG55" s="5">
        <v>0</v>
      </c>
      <c r="BH55" s="5">
        <v>0</v>
      </c>
      <c r="BI55" s="5">
        <v>0</v>
      </c>
      <c r="BJ55" s="5">
        <v>767420000000</v>
      </c>
      <c r="BK55" s="5">
        <v>767420000000</v>
      </c>
      <c r="BL55" s="5">
        <v>612110000000</v>
      </c>
      <c r="BM55" s="5">
        <v>612110000000</v>
      </c>
      <c r="BN55" s="5">
        <v>484230000000</v>
      </c>
      <c r="BO55" s="5">
        <v>484230000000</v>
      </c>
      <c r="BP55" s="5">
        <v>4590700000000</v>
      </c>
      <c r="BQ55" s="5">
        <v>3587100000000</v>
      </c>
      <c r="BR55" s="5">
        <v>479930000000</v>
      </c>
      <c r="BS55" s="5">
        <v>479930000000</v>
      </c>
      <c r="BT55" s="5">
        <v>4360800000000</v>
      </c>
      <c r="BU55" s="5">
        <v>3656500000000</v>
      </c>
      <c r="BV55" s="5">
        <v>480610000000</v>
      </c>
      <c r="BW55" s="5">
        <v>346370000000</v>
      </c>
      <c r="BX55" s="5">
        <v>7670000000000</v>
      </c>
      <c r="BY55" s="5">
        <v>4736200000000</v>
      </c>
      <c r="BZ55" s="5">
        <v>26140000000000</v>
      </c>
      <c r="CA55" s="5">
        <v>13959000000000</v>
      </c>
      <c r="CB55" s="5">
        <v>8381600000000</v>
      </c>
      <c r="CC55" s="5">
        <v>3666100000000</v>
      </c>
      <c r="CD55" s="5">
        <v>23781000000000</v>
      </c>
      <c r="CE55" s="5">
        <v>10606000000000</v>
      </c>
      <c r="CF55" s="5">
        <v>31834000000000</v>
      </c>
      <c r="CG55" s="5">
        <v>8407300000000</v>
      </c>
      <c r="CH55" s="5">
        <v>39513000000000</v>
      </c>
      <c r="CI55" s="5">
        <v>8835100000000</v>
      </c>
      <c r="CJ55" s="5">
        <v>42112000000000</v>
      </c>
      <c r="CK55" s="5">
        <v>9277300000000</v>
      </c>
      <c r="CL55" s="5">
        <v>91781000000000</v>
      </c>
      <c r="CM55" s="5">
        <v>18182000000000</v>
      </c>
      <c r="CN55" s="5">
        <v>116880000000000</v>
      </c>
      <c r="CO55" s="5">
        <v>15323000000000</v>
      </c>
      <c r="CP55" s="5">
        <v>143430000000000</v>
      </c>
      <c r="CQ55" s="5">
        <v>14544000000000</v>
      </c>
      <c r="CR55" s="5">
        <v>158680000000000</v>
      </c>
      <c r="CS55" s="5">
        <v>12869000000000</v>
      </c>
      <c r="CT55" s="5">
        <v>210120000000000</v>
      </c>
      <c r="CU55" s="5">
        <v>15002000000000</v>
      </c>
      <c r="CV55" s="5">
        <v>237360000000000</v>
      </c>
      <c r="CW55" s="5">
        <v>14479000000000</v>
      </c>
      <c r="CX55" s="5">
        <v>295870000000000</v>
      </c>
      <c r="CY55" s="5">
        <v>14350000000000</v>
      </c>
      <c r="CZ55" s="5">
        <v>328330000000000</v>
      </c>
      <c r="DA55" s="5">
        <v>13429000000000</v>
      </c>
      <c r="DB55" s="5">
        <v>388420000000000</v>
      </c>
      <c r="DC55" s="5">
        <v>12896000000000</v>
      </c>
      <c r="DD55" s="5">
        <v>397490000000000</v>
      </c>
      <c r="DE55" s="5">
        <v>13077000000000</v>
      </c>
      <c r="DF55" s="5">
        <v>425380000000000</v>
      </c>
      <c r="DG55" s="5">
        <v>11953000000000</v>
      </c>
      <c r="DH55" s="5">
        <v>431790000000000</v>
      </c>
      <c r="DI55" s="5">
        <v>10320000000000</v>
      </c>
      <c r="DJ55" s="5">
        <v>411790000000000</v>
      </c>
      <c r="DK55" s="5">
        <v>8894600000000</v>
      </c>
      <c r="DL55" s="5">
        <v>390480000000000</v>
      </c>
      <c r="DM55" s="5">
        <v>7809600000000</v>
      </c>
      <c r="DN55" s="5">
        <v>353190000000000</v>
      </c>
      <c r="DO55" s="5">
        <v>6640000000000</v>
      </c>
      <c r="DP55" s="5">
        <v>304090000000000</v>
      </c>
      <c r="DQ55" s="5">
        <v>5260800000000</v>
      </c>
      <c r="DR55" s="5">
        <v>257630000000000</v>
      </c>
      <c r="DS55" s="5">
        <v>4250900000000</v>
      </c>
      <c r="DT55" s="5">
        <v>210610000000000</v>
      </c>
      <c r="DU55" s="5">
        <v>3369700000000</v>
      </c>
      <c r="DV55" s="5">
        <v>166460000000000</v>
      </c>
      <c r="DW55" s="5">
        <v>2696700000000</v>
      </c>
      <c r="DX55" s="5">
        <v>123770000000000</v>
      </c>
      <c r="DY55" s="5">
        <v>2079300000000</v>
      </c>
      <c r="DZ55" s="5">
        <v>89443000000000</v>
      </c>
      <c r="EA55" s="5">
        <v>1520500000000</v>
      </c>
      <c r="EB55" s="5">
        <v>65261000000000</v>
      </c>
      <c r="EC55" s="5">
        <v>1135500000000</v>
      </c>
      <c r="ED55" s="5">
        <v>47088000000000</v>
      </c>
      <c r="EE55" s="5">
        <v>875830000000</v>
      </c>
      <c r="EF55" s="5">
        <v>34211000000000</v>
      </c>
      <c r="EG55" s="5">
        <v>670540000000</v>
      </c>
      <c r="EH55" s="5">
        <v>25318000000000</v>
      </c>
      <c r="EI55" s="5">
        <v>526620000000</v>
      </c>
      <c r="EJ55" s="5">
        <v>18395000000000</v>
      </c>
      <c r="EK55" s="5">
        <v>375270000000</v>
      </c>
      <c r="EL55" s="5">
        <v>13658000000000</v>
      </c>
      <c r="EM55" s="5">
        <v>293650000000</v>
      </c>
      <c r="EN55" s="5">
        <v>10316000000000</v>
      </c>
      <c r="EO55" s="5">
        <v>223850000000</v>
      </c>
      <c r="EP55" s="5">
        <v>1128200000</v>
      </c>
      <c r="EQ55" s="5">
        <v>8800200</v>
      </c>
    </row>
    <row r="56" spans="1:147">
      <c r="A56" s="5"/>
      <c r="B56" s="5"/>
      <c r="C56" s="5"/>
      <c r="D56" s="5"/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4356000000000</v>
      </c>
      <c r="BG56" s="5">
        <v>3446500000000</v>
      </c>
      <c r="BH56" s="5">
        <v>1245800000000</v>
      </c>
      <c r="BI56" s="5">
        <v>1245800000000</v>
      </c>
      <c r="BJ56" s="5">
        <v>0</v>
      </c>
      <c r="BK56" s="5">
        <v>0</v>
      </c>
      <c r="BL56" s="5">
        <v>0</v>
      </c>
      <c r="BM56" s="5">
        <v>0</v>
      </c>
      <c r="BN56" s="5">
        <v>10253000000000</v>
      </c>
      <c r="BO56" s="5">
        <v>8142200000000</v>
      </c>
      <c r="BP56" s="5">
        <v>1540600000000</v>
      </c>
      <c r="BQ56" s="5">
        <v>1216300000000</v>
      </c>
      <c r="BR56" s="5">
        <v>6270300000000</v>
      </c>
      <c r="BS56" s="5">
        <v>3895700000000</v>
      </c>
      <c r="BT56" s="5">
        <v>1876400000000</v>
      </c>
      <c r="BU56" s="5">
        <v>1281800000000</v>
      </c>
      <c r="BV56" s="5">
        <v>22446000000000</v>
      </c>
      <c r="BW56" s="5">
        <v>10139000000000</v>
      </c>
      <c r="BX56" s="5">
        <v>5473500000000</v>
      </c>
      <c r="BY56" s="5">
        <v>2631700000000</v>
      </c>
      <c r="BZ56" s="5">
        <v>20946000000000</v>
      </c>
      <c r="CA56" s="5">
        <v>8518900000000</v>
      </c>
      <c r="CB56" s="5">
        <v>23168000000000</v>
      </c>
      <c r="CC56" s="5">
        <v>7735900000000</v>
      </c>
      <c r="CD56" s="5">
        <v>38833000000000</v>
      </c>
      <c r="CE56" s="5">
        <v>10706000000000</v>
      </c>
      <c r="CF56" s="5">
        <v>46998000000000</v>
      </c>
      <c r="CG56" s="5">
        <v>9498200000000</v>
      </c>
      <c r="CH56" s="5">
        <v>53532000000000</v>
      </c>
      <c r="CI56" s="5">
        <v>14711000000000</v>
      </c>
      <c r="CJ56" s="5">
        <v>109500000000000</v>
      </c>
      <c r="CK56" s="5">
        <v>18363000000000</v>
      </c>
      <c r="CL56" s="5">
        <v>98524000000000</v>
      </c>
      <c r="CM56" s="5">
        <v>10847000000000</v>
      </c>
      <c r="CN56" s="5">
        <v>159500000000000</v>
      </c>
      <c r="CO56" s="5">
        <v>17083000000000</v>
      </c>
      <c r="CP56" s="5">
        <v>180010000000000</v>
      </c>
      <c r="CQ56" s="5">
        <v>17263000000000</v>
      </c>
      <c r="CR56" s="5">
        <v>206620000000000</v>
      </c>
      <c r="CS56" s="5">
        <v>14484000000000</v>
      </c>
      <c r="CT56" s="5">
        <v>285460000000000</v>
      </c>
      <c r="CU56" s="5">
        <v>15957000000000</v>
      </c>
      <c r="CV56" s="5">
        <v>347420000000000</v>
      </c>
      <c r="CW56" s="5">
        <v>17788000000000</v>
      </c>
      <c r="CX56" s="5">
        <v>390370000000000</v>
      </c>
      <c r="CY56" s="5">
        <v>15693000000000</v>
      </c>
      <c r="CZ56" s="5">
        <v>435600000000000</v>
      </c>
      <c r="DA56" s="5">
        <v>15899000000000</v>
      </c>
      <c r="DB56" s="5">
        <v>465510000000000</v>
      </c>
      <c r="DC56" s="5">
        <v>14896000000000</v>
      </c>
      <c r="DD56" s="5">
        <v>474620000000000</v>
      </c>
      <c r="DE56" s="5">
        <v>12767000000000</v>
      </c>
      <c r="DF56" s="5">
        <v>478580000000000</v>
      </c>
      <c r="DG56" s="5">
        <v>11342000000000</v>
      </c>
      <c r="DH56" s="5">
        <v>467340000000000</v>
      </c>
      <c r="DI56" s="5">
        <v>10141000000000</v>
      </c>
      <c r="DJ56" s="5">
        <v>431430000000000</v>
      </c>
      <c r="DK56" s="5">
        <v>8585500000000</v>
      </c>
      <c r="DL56" s="5">
        <v>398340000000000</v>
      </c>
      <c r="DM56" s="5">
        <v>7130400000000</v>
      </c>
      <c r="DN56" s="5">
        <v>334700000000000</v>
      </c>
      <c r="DO56" s="5">
        <v>5790200000000</v>
      </c>
      <c r="DP56" s="5">
        <v>283130000000000</v>
      </c>
      <c r="DQ56" s="5">
        <v>4643300000000</v>
      </c>
      <c r="DR56" s="5">
        <v>229870000000000</v>
      </c>
      <c r="DS56" s="5">
        <v>3724000000000</v>
      </c>
      <c r="DT56" s="5">
        <v>178430000000000</v>
      </c>
      <c r="DU56" s="5">
        <v>2890600000000</v>
      </c>
      <c r="DV56" s="5">
        <v>132290000000000</v>
      </c>
      <c r="DW56" s="5">
        <v>2222500000000</v>
      </c>
      <c r="DX56" s="5">
        <v>96458000000000</v>
      </c>
      <c r="DY56" s="5">
        <v>1639800000000</v>
      </c>
      <c r="DZ56" s="5">
        <v>71450000000000</v>
      </c>
      <c r="EA56" s="5">
        <v>1336100000000</v>
      </c>
      <c r="EB56" s="5">
        <v>51727000000000</v>
      </c>
      <c r="EC56" s="5">
        <v>956940000000</v>
      </c>
      <c r="ED56" s="5">
        <v>37314000000000</v>
      </c>
      <c r="EE56" s="5">
        <v>731360000000</v>
      </c>
      <c r="EF56" s="5">
        <v>27257000000000</v>
      </c>
      <c r="EG56" s="5">
        <v>564220000000</v>
      </c>
      <c r="EH56" s="5">
        <v>19947000000000</v>
      </c>
      <c r="EI56" s="5">
        <v>424870000000</v>
      </c>
      <c r="EJ56" s="5">
        <v>14807000000000</v>
      </c>
      <c r="EK56" s="5">
        <v>337600000000</v>
      </c>
      <c r="EL56" s="5">
        <v>10776000000000</v>
      </c>
      <c r="EM56" s="5">
        <v>239220000000</v>
      </c>
      <c r="EN56" s="5">
        <v>8026600000000</v>
      </c>
      <c r="EO56" s="5">
        <v>195050000000</v>
      </c>
      <c r="EP56" s="5">
        <v>835760000</v>
      </c>
      <c r="EQ56" s="5">
        <v>7103900</v>
      </c>
    </row>
    <row r="57" spans="1:147">
      <c r="A57" s="5"/>
      <c r="B57" s="5"/>
      <c r="C57" s="5"/>
      <c r="D57" s="5"/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767530000000</v>
      </c>
      <c r="BI57" s="5">
        <v>767530000000</v>
      </c>
      <c r="BJ57" s="5">
        <v>0</v>
      </c>
      <c r="BK57" s="5">
        <v>0</v>
      </c>
      <c r="BL57" s="5">
        <v>1968800000000</v>
      </c>
      <c r="BM57" s="5">
        <v>1212000000000</v>
      </c>
      <c r="BN57" s="5">
        <v>7618800000000</v>
      </c>
      <c r="BO57" s="5">
        <v>3642600000000</v>
      </c>
      <c r="BP57" s="5">
        <v>45172000000000</v>
      </c>
      <c r="BQ57" s="5">
        <v>38496000000000</v>
      </c>
      <c r="BR57" s="5">
        <v>13310000000000</v>
      </c>
      <c r="BS57" s="5">
        <v>5933500000000</v>
      </c>
      <c r="BT57" s="5">
        <v>45368000000000</v>
      </c>
      <c r="BU57" s="5">
        <v>28069000000000</v>
      </c>
      <c r="BV57" s="5">
        <v>29099000000000</v>
      </c>
      <c r="BW57" s="5">
        <v>15405000000000</v>
      </c>
      <c r="BX57" s="5">
        <v>39038000000000</v>
      </c>
      <c r="BY57" s="5">
        <v>13706000000000</v>
      </c>
      <c r="BZ57" s="5">
        <v>21030000000000</v>
      </c>
      <c r="CA57" s="5">
        <v>4920900000000</v>
      </c>
      <c r="CB57" s="5">
        <v>51117000000000</v>
      </c>
      <c r="CC57" s="5">
        <v>12963000000000</v>
      </c>
      <c r="CD57" s="5">
        <v>98169000000000</v>
      </c>
      <c r="CE57" s="5">
        <v>26516000000000</v>
      </c>
      <c r="CF57" s="5">
        <v>103640000000000</v>
      </c>
      <c r="CG57" s="5">
        <v>21578000000000</v>
      </c>
      <c r="CH57" s="5">
        <v>99502000000000</v>
      </c>
      <c r="CI57" s="5">
        <v>17960000000000</v>
      </c>
      <c r="CJ57" s="5">
        <v>158710000000000</v>
      </c>
      <c r="CK57" s="5">
        <v>19030000000000</v>
      </c>
      <c r="CL57" s="5">
        <v>228170000000000</v>
      </c>
      <c r="CM57" s="5">
        <v>24459000000000</v>
      </c>
      <c r="CN57" s="5">
        <v>233180000000000</v>
      </c>
      <c r="CO57" s="5">
        <v>20077000000000</v>
      </c>
      <c r="CP57" s="5">
        <v>298350000000000</v>
      </c>
      <c r="CQ57" s="5">
        <v>25001000000000</v>
      </c>
      <c r="CR57" s="5">
        <v>370970000000000</v>
      </c>
      <c r="CS57" s="5">
        <v>21961000000000</v>
      </c>
      <c r="CT57" s="5">
        <v>367940000000000</v>
      </c>
      <c r="CU57" s="5">
        <v>20384000000000</v>
      </c>
      <c r="CV57" s="5">
        <v>442770000000000</v>
      </c>
      <c r="CW57" s="5">
        <v>17445000000000</v>
      </c>
      <c r="CX57" s="5">
        <v>500050000000000</v>
      </c>
      <c r="CY57" s="5">
        <v>17602000000000</v>
      </c>
      <c r="CZ57" s="5">
        <v>562090000000000</v>
      </c>
      <c r="DA57" s="5">
        <v>16806000000000</v>
      </c>
      <c r="DB57" s="5">
        <v>532610000000000</v>
      </c>
      <c r="DC57" s="5">
        <v>13848000000000</v>
      </c>
      <c r="DD57" s="5">
        <v>533220000000000</v>
      </c>
      <c r="DE57" s="5">
        <v>12957000000000</v>
      </c>
      <c r="DF57" s="5">
        <v>536910000000000</v>
      </c>
      <c r="DG57" s="5">
        <v>11812000000000</v>
      </c>
      <c r="DH57" s="5">
        <v>505610000000000</v>
      </c>
      <c r="DI57" s="5">
        <v>9808900000000</v>
      </c>
      <c r="DJ57" s="5">
        <v>453090000000000</v>
      </c>
      <c r="DK57" s="5">
        <v>7974400000000</v>
      </c>
      <c r="DL57" s="5">
        <v>398010000000000</v>
      </c>
      <c r="DM57" s="5">
        <v>6567200000000</v>
      </c>
      <c r="DN57" s="5">
        <v>324680000000000</v>
      </c>
      <c r="DO57" s="5">
        <v>5259700000000</v>
      </c>
      <c r="DP57" s="5">
        <v>260210000000000</v>
      </c>
      <c r="DQ57" s="5">
        <v>4189400000000</v>
      </c>
      <c r="DR57" s="5">
        <v>191970000000000</v>
      </c>
      <c r="DS57" s="5">
        <v>2975500000000</v>
      </c>
      <c r="DT57" s="5">
        <v>146460000000000</v>
      </c>
      <c r="DU57" s="5">
        <v>2401900000000</v>
      </c>
      <c r="DV57" s="5">
        <v>104660000000000</v>
      </c>
      <c r="DW57" s="5">
        <v>1873500000000</v>
      </c>
      <c r="DX57" s="5">
        <v>76532000000000</v>
      </c>
      <c r="DY57" s="5">
        <v>1431200000000</v>
      </c>
      <c r="DZ57" s="5">
        <v>54463000000000</v>
      </c>
      <c r="EA57" s="5">
        <v>1040200000000</v>
      </c>
      <c r="EB57" s="5">
        <v>40152000000000</v>
      </c>
      <c r="EC57" s="5">
        <v>778950000000</v>
      </c>
      <c r="ED57" s="5">
        <v>29386000000000</v>
      </c>
      <c r="EE57" s="5">
        <v>602420000000</v>
      </c>
      <c r="EF57" s="5">
        <v>21017000000000</v>
      </c>
      <c r="EG57" s="5">
        <v>441360000000</v>
      </c>
      <c r="EH57" s="5">
        <v>15429000000000</v>
      </c>
      <c r="EI57" s="5">
        <v>362570000000</v>
      </c>
      <c r="EJ57" s="5">
        <v>11576000000000</v>
      </c>
      <c r="EK57" s="5">
        <v>259290000000</v>
      </c>
      <c r="EL57" s="5">
        <v>8346400000000</v>
      </c>
      <c r="EM57" s="5">
        <v>196970000000</v>
      </c>
      <c r="EN57" s="5">
        <v>6161600000000</v>
      </c>
      <c r="EO57" s="5">
        <v>152190000000</v>
      </c>
      <c r="EP57" s="5">
        <v>623670000</v>
      </c>
      <c r="EQ57" s="5">
        <v>5737800</v>
      </c>
    </row>
    <row r="58" spans="1:147">
      <c r="A58" s="5"/>
      <c r="B58" s="5"/>
      <c r="C58" s="5"/>
      <c r="D58" s="5"/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34856000000000</v>
      </c>
      <c r="BA58" s="5">
        <v>34856000000000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684880000000</v>
      </c>
      <c r="BI58" s="5">
        <v>684880000000</v>
      </c>
      <c r="BJ58" s="5">
        <v>5972500000000</v>
      </c>
      <c r="BK58" s="5">
        <v>3766200000000</v>
      </c>
      <c r="BL58" s="5">
        <v>2475200000000</v>
      </c>
      <c r="BM58" s="5">
        <v>1344500000000</v>
      </c>
      <c r="BN58" s="5">
        <v>4233000000000</v>
      </c>
      <c r="BO58" s="5">
        <v>1833700000000</v>
      </c>
      <c r="BP58" s="5">
        <v>47746000000000</v>
      </c>
      <c r="BQ58" s="5">
        <v>30419000000000</v>
      </c>
      <c r="BR58" s="5">
        <v>15542000000000</v>
      </c>
      <c r="BS58" s="5">
        <v>5873200000000</v>
      </c>
      <c r="BT58" s="5">
        <v>31920000000000</v>
      </c>
      <c r="BU58" s="5">
        <v>16493000000000</v>
      </c>
      <c r="BV58" s="5">
        <v>43932000000000</v>
      </c>
      <c r="BW58" s="5">
        <v>19093000000000</v>
      </c>
      <c r="BX58" s="5">
        <v>56759000000000</v>
      </c>
      <c r="BY58" s="5">
        <v>18481000000000</v>
      </c>
      <c r="BZ58" s="5">
        <v>116500000000000</v>
      </c>
      <c r="CA58" s="5">
        <v>44282000000000</v>
      </c>
      <c r="CB58" s="5">
        <v>77265000000000</v>
      </c>
      <c r="CC58" s="5">
        <v>19788000000000</v>
      </c>
      <c r="CD58" s="5">
        <v>87469000000000</v>
      </c>
      <c r="CE58" s="5">
        <v>19514000000000</v>
      </c>
      <c r="CF58" s="5">
        <v>146110000000000</v>
      </c>
      <c r="CG58" s="5">
        <v>22384000000000</v>
      </c>
      <c r="CH58" s="5">
        <v>183540000000000</v>
      </c>
      <c r="CI58" s="5">
        <v>21052000000000</v>
      </c>
      <c r="CJ58" s="5">
        <v>217420000000000</v>
      </c>
      <c r="CK58" s="5">
        <v>22220000000000</v>
      </c>
      <c r="CL58" s="5">
        <v>267200000000000</v>
      </c>
      <c r="CM58" s="5">
        <v>22658000000000</v>
      </c>
      <c r="CN58" s="5">
        <v>337710000000000</v>
      </c>
      <c r="CO58" s="5">
        <v>23201000000000</v>
      </c>
      <c r="CP58" s="5">
        <v>384630000000000</v>
      </c>
      <c r="CQ58" s="5">
        <v>22732000000000</v>
      </c>
      <c r="CR58" s="5">
        <v>444970000000000</v>
      </c>
      <c r="CS58" s="5">
        <v>23895000000000</v>
      </c>
      <c r="CT58" s="5">
        <v>529710000000000</v>
      </c>
      <c r="CU58" s="5">
        <v>20659000000000</v>
      </c>
      <c r="CV58" s="5">
        <v>588030000000000</v>
      </c>
      <c r="CW58" s="5">
        <v>19758000000000</v>
      </c>
      <c r="CX58" s="5">
        <v>616920000000000</v>
      </c>
      <c r="CY58" s="5">
        <v>18261000000000</v>
      </c>
      <c r="CZ58" s="5">
        <v>627600000000000</v>
      </c>
      <c r="DA58" s="5">
        <v>16192000000000</v>
      </c>
      <c r="DB58" s="5">
        <v>628180000000000</v>
      </c>
      <c r="DC58" s="5">
        <v>14637000000000</v>
      </c>
      <c r="DD58" s="5">
        <v>580120000000000</v>
      </c>
      <c r="DE58" s="5">
        <v>12241000000000</v>
      </c>
      <c r="DF58" s="5">
        <v>574950000000000</v>
      </c>
      <c r="DG58" s="5">
        <v>11211000000000</v>
      </c>
      <c r="DH58" s="5">
        <v>488520000000000</v>
      </c>
      <c r="DI58" s="5">
        <v>8646800000000</v>
      </c>
      <c r="DJ58" s="5">
        <v>425640000000000</v>
      </c>
      <c r="DK58" s="5">
        <v>7193300000000</v>
      </c>
      <c r="DL58" s="5">
        <v>361450000000000</v>
      </c>
      <c r="DM58" s="5">
        <v>5855500000000</v>
      </c>
      <c r="DN58" s="5">
        <v>291470000000000</v>
      </c>
      <c r="DO58" s="5">
        <v>4721700000000</v>
      </c>
      <c r="DP58" s="5">
        <v>217800000000000</v>
      </c>
      <c r="DQ58" s="5">
        <v>3593600000000</v>
      </c>
      <c r="DR58" s="5">
        <v>154590000000000</v>
      </c>
      <c r="DS58" s="5">
        <v>2597200000000</v>
      </c>
      <c r="DT58" s="5">
        <v>112270000000000</v>
      </c>
      <c r="DU58" s="5">
        <v>1964800000000</v>
      </c>
      <c r="DV58" s="5">
        <v>80227000000000</v>
      </c>
      <c r="DW58" s="5">
        <v>1444100000000</v>
      </c>
      <c r="DX58" s="5">
        <v>59281000000000</v>
      </c>
      <c r="DY58" s="5">
        <v>1120400000000</v>
      </c>
      <c r="DZ58" s="5">
        <v>43246000000000</v>
      </c>
      <c r="EA58" s="5">
        <v>864910000000</v>
      </c>
      <c r="EB58" s="5">
        <v>31249000000000</v>
      </c>
      <c r="EC58" s="5">
        <v>649980000000</v>
      </c>
      <c r="ED58" s="5">
        <v>22823000000000</v>
      </c>
      <c r="EE58" s="5">
        <v>467870000000</v>
      </c>
      <c r="EF58" s="5">
        <v>16171000000000</v>
      </c>
      <c r="EG58" s="5">
        <v>373540000000</v>
      </c>
      <c r="EH58" s="5">
        <v>12086000000000</v>
      </c>
      <c r="EI58" s="5">
        <v>281600000000</v>
      </c>
      <c r="EJ58" s="5">
        <v>8893000000000</v>
      </c>
      <c r="EK58" s="5">
        <v>216100000000</v>
      </c>
      <c r="EL58" s="5">
        <v>6441900000000</v>
      </c>
      <c r="EM58" s="5">
        <v>171350000000</v>
      </c>
      <c r="EN58" s="5">
        <v>4888900000000</v>
      </c>
      <c r="EO58" s="5">
        <v>118800000000</v>
      </c>
      <c r="EP58" s="5">
        <v>455410000</v>
      </c>
      <c r="EQ58" s="5">
        <v>4417500</v>
      </c>
    </row>
    <row r="59" spans="1:147">
      <c r="A59" s="5"/>
      <c r="B59" s="5"/>
      <c r="C59" s="5"/>
      <c r="D59" s="5"/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1539100000000</v>
      </c>
      <c r="BG59" s="5">
        <v>1088300000000</v>
      </c>
      <c r="BH59" s="5">
        <v>610160000000</v>
      </c>
      <c r="BI59" s="5">
        <v>610160000000</v>
      </c>
      <c r="BJ59" s="5">
        <v>21169000000000</v>
      </c>
      <c r="BK59" s="5">
        <v>14295000000000</v>
      </c>
      <c r="BL59" s="5">
        <v>36457000000000</v>
      </c>
      <c r="BM59" s="5">
        <v>34926000000000</v>
      </c>
      <c r="BN59" s="5">
        <v>11704000000000</v>
      </c>
      <c r="BO59" s="5">
        <v>5417800000000</v>
      </c>
      <c r="BP59" s="5">
        <v>9014900000000</v>
      </c>
      <c r="BQ59" s="5">
        <v>3963900000000</v>
      </c>
      <c r="BR59" s="5">
        <v>45634000000000</v>
      </c>
      <c r="BS59" s="5">
        <v>19541000000000</v>
      </c>
      <c r="BT59" s="5">
        <v>56844000000000</v>
      </c>
      <c r="BU59" s="5">
        <v>21345000000000</v>
      </c>
      <c r="BV59" s="5">
        <v>20522000000000</v>
      </c>
      <c r="BW59" s="5">
        <v>8619300000000</v>
      </c>
      <c r="BX59" s="5">
        <v>96704000000000</v>
      </c>
      <c r="BY59" s="5">
        <v>49851000000000</v>
      </c>
      <c r="BZ59" s="5">
        <v>77207000000000</v>
      </c>
      <c r="CA59" s="5">
        <v>17904000000000</v>
      </c>
      <c r="CB59" s="5">
        <v>115030000000000</v>
      </c>
      <c r="CC59" s="5">
        <v>27826000000000</v>
      </c>
      <c r="CD59" s="5">
        <v>174660000000000</v>
      </c>
      <c r="CE59" s="5">
        <v>25518000000000</v>
      </c>
      <c r="CF59" s="5">
        <v>198660000000000</v>
      </c>
      <c r="CG59" s="5">
        <v>24455000000000</v>
      </c>
      <c r="CH59" s="5">
        <v>254780000000000</v>
      </c>
      <c r="CI59" s="5">
        <v>24357000000000</v>
      </c>
      <c r="CJ59" s="5">
        <v>350450000000000</v>
      </c>
      <c r="CK59" s="5">
        <v>28737000000000</v>
      </c>
      <c r="CL59" s="5">
        <v>371000000000000</v>
      </c>
      <c r="CM59" s="5">
        <v>25636000000000</v>
      </c>
      <c r="CN59" s="5">
        <v>504280000000000</v>
      </c>
      <c r="CO59" s="5">
        <v>28290000000000</v>
      </c>
      <c r="CP59" s="5">
        <v>540180000000000</v>
      </c>
      <c r="CQ59" s="5">
        <v>25821000000000</v>
      </c>
      <c r="CR59" s="5">
        <v>634900000000000</v>
      </c>
      <c r="CS59" s="5">
        <v>24190000000000</v>
      </c>
      <c r="CT59" s="5">
        <v>667260000000000</v>
      </c>
      <c r="CU59" s="5">
        <v>23221000000000</v>
      </c>
      <c r="CV59" s="5">
        <v>699410000000000</v>
      </c>
      <c r="CW59" s="5">
        <v>20003000000000</v>
      </c>
      <c r="CX59" s="5">
        <v>711700000000000</v>
      </c>
      <c r="CY59" s="5">
        <v>17294000000000</v>
      </c>
      <c r="CZ59" s="5">
        <v>728040000000000</v>
      </c>
      <c r="DA59" s="5">
        <v>16308000000000</v>
      </c>
      <c r="DB59" s="5">
        <v>691780000000000</v>
      </c>
      <c r="DC59" s="5">
        <v>14043000000000</v>
      </c>
      <c r="DD59" s="5">
        <v>632470000000000</v>
      </c>
      <c r="DE59" s="5">
        <v>12017000000000</v>
      </c>
      <c r="DF59" s="5">
        <v>567120000000000</v>
      </c>
      <c r="DG59" s="5">
        <v>9868000000000</v>
      </c>
      <c r="DH59" s="5">
        <v>484060000000000</v>
      </c>
      <c r="DI59" s="5">
        <v>8083800000000</v>
      </c>
      <c r="DJ59" s="5">
        <v>405630000000000</v>
      </c>
      <c r="DK59" s="5">
        <v>6571200000000</v>
      </c>
      <c r="DL59" s="5">
        <v>316260000000000</v>
      </c>
      <c r="DM59" s="5">
        <v>5060200000000</v>
      </c>
      <c r="DN59" s="5">
        <v>246460000000000</v>
      </c>
      <c r="DO59" s="5">
        <v>4041900000000</v>
      </c>
      <c r="DP59" s="5">
        <v>177920000000000</v>
      </c>
      <c r="DQ59" s="5">
        <v>2953500000000</v>
      </c>
      <c r="DR59" s="5">
        <v>125110000000000</v>
      </c>
      <c r="DS59" s="5">
        <v>2239400000000</v>
      </c>
      <c r="DT59" s="5">
        <v>86392000000000</v>
      </c>
      <c r="DU59" s="5">
        <v>1555000000000</v>
      </c>
      <c r="DV59" s="5">
        <v>61145000000000</v>
      </c>
      <c r="DW59" s="5">
        <v>1204600000000</v>
      </c>
      <c r="DX59" s="5">
        <v>44891000000000</v>
      </c>
      <c r="DY59" s="5">
        <v>893320000000</v>
      </c>
      <c r="DZ59" s="5">
        <v>33212000000000</v>
      </c>
      <c r="EA59" s="5">
        <v>694140000000</v>
      </c>
      <c r="EB59" s="5">
        <v>23143000000000</v>
      </c>
      <c r="EC59" s="5">
        <v>513780000000</v>
      </c>
      <c r="ED59" s="5">
        <v>17221000000000</v>
      </c>
      <c r="EE59" s="5">
        <v>404700000000</v>
      </c>
      <c r="EF59" s="5">
        <v>12533000000000</v>
      </c>
      <c r="EG59" s="5">
        <v>290760000000</v>
      </c>
      <c r="EH59" s="5">
        <v>9988300000000</v>
      </c>
      <c r="EI59" s="5">
        <v>241720000000</v>
      </c>
      <c r="EJ59" s="5">
        <v>7133900000000</v>
      </c>
      <c r="EK59" s="5">
        <v>180490000000</v>
      </c>
      <c r="EL59" s="5">
        <v>5279200000000</v>
      </c>
      <c r="EM59" s="5">
        <v>133030000000</v>
      </c>
      <c r="EN59" s="5">
        <v>3999700000000</v>
      </c>
      <c r="EO59" s="5">
        <v>107190000000</v>
      </c>
      <c r="EP59" s="5">
        <v>325930000</v>
      </c>
      <c r="EQ59" s="5">
        <v>3422300</v>
      </c>
    </row>
    <row r="60" spans="1:147">
      <c r="A60" s="5"/>
      <c r="B60" s="5"/>
      <c r="C60" s="5"/>
      <c r="D60" s="5"/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1084800000000</v>
      </c>
      <c r="BC60" s="5">
        <v>1084800000000</v>
      </c>
      <c r="BD60" s="5">
        <v>1919500000000</v>
      </c>
      <c r="BE60" s="5">
        <v>1364400000000</v>
      </c>
      <c r="BF60" s="5">
        <v>732420000000</v>
      </c>
      <c r="BG60" s="5">
        <v>732420000000</v>
      </c>
      <c r="BH60" s="5">
        <v>4294600000000</v>
      </c>
      <c r="BI60" s="5">
        <v>2380500000000</v>
      </c>
      <c r="BJ60" s="5">
        <v>7614200000000</v>
      </c>
      <c r="BK60" s="5">
        <v>3637300000000</v>
      </c>
      <c r="BL60" s="5">
        <v>6513000000000</v>
      </c>
      <c r="BM60" s="5">
        <v>2517900000000</v>
      </c>
      <c r="BN60" s="5">
        <v>12849000000000</v>
      </c>
      <c r="BO60" s="5">
        <v>6563200000000</v>
      </c>
      <c r="BP60" s="5">
        <v>27938000000000</v>
      </c>
      <c r="BQ60" s="5">
        <v>10524000000000</v>
      </c>
      <c r="BR60" s="5">
        <v>34082000000000</v>
      </c>
      <c r="BS60" s="5">
        <v>10443000000000</v>
      </c>
      <c r="BT60" s="5">
        <v>78965000000000</v>
      </c>
      <c r="BU60" s="5">
        <v>38796000000000</v>
      </c>
      <c r="BV60" s="5">
        <v>45589000000000</v>
      </c>
      <c r="BW60" s="5">
        <v>11853000000000</v>
      </c>
      <c r="BX60" s="5">
        <v>96540000000000</v>
      </c>
      <c r="BY60" s="5">
        <v>20544000000000</v>
      </c>
      <c r="BZ60" s="5">
        <v>133140000000000</v>
      </c>
      <c r="CA60" s="5">
        <v>24378000000000</v>
      </c>
      <c r="CB60" s="5">
        <v>184080000000000</v>
      </c>
      <c r="CC60" s="5">
        <v>33962000000000</v>
      </c>
      <c r="CD60" s="5">
        <v>248150000000000</v>
      </c>
      <c r="CE60" s="5">
        <v>31119000000000</v>
      </c>
      <c r="CF60" s="5">
        <v>270890000000000</v>
      </c>
      <c r="CG60" s="5">
        <v>29500000000000</v>
      </c>
      <c r="CH60" s="5">
        <v>404660000000000</v>
      </c>
      <c r="CI60" s="5">
        <v>31239000000000</v>
      </c>
      <c r="CJ60" s="5">
        <v>431760000000000</v>
      </c>
      <c r="CK60" s="5">
        <v>31778000000000</v>
      </c>
      <c r="CL60" s="5">
        <v>551550000000000</v>
      </c>
      <c r="CM60" s="5">
        <v>31052000000000</v>
      </c>
      <c r="CN60" s="5">
        <v>598650000000000</v>
      </c>
      <c r="CO60" s="5">
        <v>29094000000000</v>
      </c>
      <c r="CP60" s="5">
        <v>751380000000000</v>
      </c>
      <c r="CQ60" s="5">
        <v>31708000000000</v>
      </c>
      <c r="CR60" s="5">
        <v>695020000000000</v>
      </c>
      <c r="CS60" s="5">
        <v>23005000000000</v>
      </c>
      <c r="CT60" s="5">
        <v>820170000000000</v>
      </c>
      <c r="CU60" s="5">
        <v>23375000000000</v>
      </c>
      <c r="CV60" s="5">
        <v>852380000000000</v>
      </c>
      <c r="CW60" s="5">
        <v>21395000000000</v>
      </c>
      <c r="CX60" s="5">
        <v>836160000000000</v>
      </c>
      <c r="CY60" s="5">
        <v>19315000000000</v>
      </c>
      <c r="CZ60" s="5">
        <v>773990000000000</v>
      </c>
      <c r="DA60" s="5">
        <v>15480000000000</v>
      </c>
      <c r="DB60" s="5">
        <v>728470000000000</v>
      </c>
      <c r="DC60" s="5">
        <v>13841000000000</v>
      </c>
      <c r="DD60" s="5">
        <v>651890000000000</v>
      </c>
      <c r="DE60" s="5">
        <v>11278000000000</v>
      </c>
      <c r="DF60" s="5">
        <v>559460000000000</v>
      </c>
      <c r="DG60" s="5">
        <v>9287100000000</v>
      </c>
      <c r="DH60" s="5">
        <v>455770000000000</v>
      </c>
      <c r="DI60" s="5">
        <v>7246700000000</v>
      </c>
      <c r="DJ60" s="5">
        <v>358300000000000</v>
      </c>
      <c r="DK60" s="5">
        <v>5911900000000</v>
      </c>
      <c r="DL60" s="5">
        <v>264850000000000</v>
      </c>
      <c r="DM60" s="5">
        <v>4317000000000</v>
      </c>
      <c r="DN60" s="5">
        <v>193270000000000</v>
      </c>
      <c r="DO60" s="5">
        <v>3343600000000</v>
      </c>
      <c r="DP60" s="5">
        <v>133260000000000</v>
      </c>
      <c r="DQ60" s="5">
        <v>2412100000000</v>
      </c>
      <c r="DR60" s="5">
        <v>93908000000000</v>
      </c>
      <c r="DS60" s="5">
        <v>1859400000000</v>
      </c>
      <c r="DT60" s="5">
        <v>66987000000000</v>
      </c>
      <c r="DU60" s="5">
        <v>1312900000000</v>
      </c>
      <c r="DV60" s="5">
        <v>48769000000000</v>
      </c>
      <c r="DW60" s="5">
        <v>1048500000000</v>
      </c>
      <c r="DX60" s="5">
        <v>34398000000000</v>
      </c>
      <c r="DY60" s="5">
        <v>746450000000</v>
      </c>
      <c r="DZ60" s="5">
        <v>25452000000000</v>
      </c>
      <c r="EA60" s="5">
        <v>567580000000</v>
      </c>
      <c r="EB60" s="5">
        <v>18607000000000</v>
      </c>
      <c r="EC60" s="5">
        <v>439130000000</v>
      </c>
      <c r="ED60" s="5">
        <v>13750000000000</v>
      </c>
      <c r="EE60" s="5">
        <v>321750000000</v>
      </c>
      <c r="EF60" s="5">
        <v>9797100000000</v>
      </c>
      <c r="EG60" s="5">
        <v>258640000000</v>
      </c>
      <c r="EH60" s="5">
        <v>7441600000000</v>
      </c>
      <c r="EI60" s="5">
        <v>198690000000</v>
      </c>
      <c r="EJ60" s="5">
        <v>5330600000000</v>
      </c>
      <c r="EK60" s="5">
        <v>135400000000</v>
      </c>
      <c r="EL60" s="5">
        <v>4155700000000</v>
      </c>
      <c r="EM60" s="5">
        <v>110130000000</v>
      </c>
      <c r="EN60" s="5">
        <v>3007800000000</v>
      </c>
      <c r="EO60" s="5">
        <v>86926000000</v>
      </c>
      <c r="EP60" s="5">
        <v>233730000</v>
      </c>
      <c r="EQ60" s="5">
        <v>2594400</v>
      </c>
    </row>
    <row r="61" spans="1:147">
      <c r="A61" s="5"/>
      <c r="B61" s="5"/>
      <c r="C61" s="5"/>
      <c r="D61" s="5"/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5532900000000</v>
      </c>
      <c r="AO61" s="5">
        <v>5532900000000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10406000000000</v>
      </c>
      <c r="BA61" s="5">
        <v>10406000000000</v>
      </c>
      <c r="BB61" s="5">
        <v>2794300000000</v>
      </c>
      <c r="BC61" s="5">
        <v>2067500000000</v>
      </c>
      <c r="BD61" s="5">
        <v>1541400000000</v>
      </c>
      <c r="BE61" s="5">
        <v>1089900000000</v>
      </c>
      <c r="BF61" s="5">
        <v>2313800000000</v>
      </c>
      <c r="BG61" s="5">
        <v>1392900000000</v>
      </c>
      <c r="BH61" s="5">
        <v>6041400000000</v>
      </c>
      <c r="BI61" s="5">
        <v>2321700000000</v>
      </c>
      <c r="BJ61" s="5">
        <v>4759000000000</v>
      </c>
      <c r="BK61" s="5">
        <v>2455600000000</v>
      </c>
      <c r="BL61" s="5">
        <v>48217000000000</v>
      </c>
      <c r="BM61" s="5">
        <v>22932000000000</v>
      </c>
      <c r="BN61" s="5">
        <v>9880000000000</v>
      </c>
      <c r="BO61" s="5">
        <v>3376000000000</v>
      </c>
      <c r="BP61" s="5">
        <v>59775000000000</v>
      </c>
      <c r="BQ61" s="5">
        <v>29254000000000</v>
      </c>
      <c r="BR61" s="5">
        <v>35932000000000</v>
      </c>
      <c r="BS61" s="5">
        <v>10949000000000</v>
      </c>
      <c r="BT61" s="5">
        <v>82474000000000</v>
      </c>
      <c r="BU61" s="5">
        <v>29344000000000</v>
      </c>
      <c r="BV61" s="5">
        <v>58805000000000</v>
      </c>
      <c r="BW61" s="5">
        <v>21305000000000</v>
      </c>
      <c r="BX61" s="5">
        <v>167080000000000</v>
      </c>
      <c r="BY61" s="5">
        <v>51410000000000</v>
      </c>
      <c r="BZ61" s="5">
        <v>213170000000000</v>
      </c>
      <c r="CA61" s="5">
        <v>26327000000000</v>
      </c>
      <c r="CB61" s="5">
        <v>381930000000000</v>
      </c>
      <c r="CC61" s="5">
        <v>91434000000000</v>
      </c>
      <c r="CD61" s="5">
        <v>354760000000000</v>
      </c>
      <c r="CE61" s="5">
        <v>36115000000000</v>
      </c>
      <c r="CF61" s="5">
        <v>403970000000000</v>
      </c>
      <c r="CG61" s="5">
        <v>39791000000000</v>
      </c>
      <c r="CH61" s="5">
        <v>538470000000000</v>
      </c>
      <c r="CI61" s="5">
        <v>34193000000000</v>
      </c>
      <c r="CJ61" s="5">
        <v>556110000000000</v>
      </c>
      <c r="CK61" s="5">
        <v>29807000000000</v>
      </c>
      <c r="CL61" s="5">
        <v>656950000000000</v>
      </c>
      <c r="CM61" s="5">
        <v>32782000000000</v>
      </c>
      <c r="CN61" s="5">
        <v>775580000000000</v>
      </c>
      <c r="CO61" s="5">
        <v>32962000000000</v>
      </c>
      <c r="CP61" s="5">
        <v>852900000000000</v>
      </c>
      <c r="CQ61" s="5">
        <v>28402000000000</v>
      </c>
      <c r="CR61" s="5">
        <v>925440000000000</v>
      </c>
      <c r="CS61" s="5">
        <v>26005000000000</v>
      </c>
      <c r="CT61" s="5">
        <v>934400000000000</v>
      </c>
      <c r="CU61" s="5">
        <v>23267000000000</v>
      </c>
      <c r="CV61" s="5">
        <v>939370000000000</v>
      </c>
      <c r="CW61" s="5">
        <v>21418000000000</v>
      </c>
      <c r="CX61" s="5">
        <v>853990000000000</v>
      </c>
      <c r="CY61" s="5">
        <v>17421000000000</v>
      </c>
      <c r="CZ61" s="5">
        <v>814180000000000</v>
      </c>
      <c r="DA61" s="5">
        <v>15144000000000</v>
      </c>
      <c r="DB61" s="5">
        <v>700810000000000</v>
      </c>
      <c r="DC61" s="5">
        <v>11984000000000</v>
      </c>
      <c r="DD61" s="5">
        <v>606370000000000</v>
      </c>
      <c r="DE61" s="5">
        <v>9823200000000</v>
      </c>
      <c r="DF61" s="5">
        <v>515650000000000</v>
      </c>
      <c r="DG61" s="5">
        <v>8559800000000</v>
      </c>
      <c r="DH61" s="5">
        <v>386620000000000</v>
      </c>
      <c r="DI61" s="5">
        <v>6301900000000</v>
      </c>
      <c r="DJ61" s="5">
        <v>285100000000000</v>
      </c>
      <c r="DK61" s="5">
        <v>4675600000000</v>
      </c>
      <c r="DL61" s="5">
        <v>198190000000000</v>
      </c>
      <c r="DM61" s="5">
        <v>3349400000000</v>
      </c>
      <c r="DN61" s="5">
        <v>143120000000000</v>
      </c>
      <c r="DO61" s="5">
        <v>2676400000000</v>
      </c>
      <c r="DP61" s="5">
        <v>98250000000000</v>
      </c>
      <c r="DQ61" s="5">
        <v>1896200000000</v>
      </c>
      <c r="DR61" s="5">
        <v>72609000000000</v>
      </c>
      <c r="DS61" s="5">
        <v>1474000000000</v>
      </c>
      <c r="DT61" s="5">
        <v>52150000000000</v>
      </c>
      <c r="DU61" s="5">
        <v>1152500000000</v>
      </c>
      <c r="DV61" s="5">
        <v>35339000000000</v>
      </c>
      <c r="DW61" s="5">
        <v>816340000000</v>
      </c>
      <c r="DX61" s="5">
        <v>26214000000000</v>
      </c>
      <c r="DY61" s="5">
        <v>595050000000</v>
      </c>
      <c r="DZ61" s="5">
        <v>18447000000000</v>
      </c>
      <c r="EA61" s="5">
        <v>448250000000</v>
      </c>
      <c r="EB61" s="5">
        <v>14238000000000</v>
      </c>
      <c r="EC61" s="5">
        <v>355950000000</v>
      </c>
      <c r="ED61" s="5">
        <v>10778000000000</v>
      </c>
      <c r="EE61" s="5">
        <v>267300000000</v>
      </c>
      <c r="EF61" s="5">
        <v>7731000000000</v>
      </c>
      <c r="EG61" s="5">
        <v>201780000000</v>
      </c>
      <c r="EH61" s="5">
        <v>5834800000000</v>
      </c>
      <c r="EI61" s="5">
        <v>149370000000</v>
      </c>
      <c r="EJ61" s="5">
        <v>4351000000000</v>
      </c>
      <c r="EK61" s="5">
        <v>124870000000</v>
      </c>
      <c r="EL61" s="5">
        <v>3207000000000</v>
      </c>
      <c r="EM61" s="5">
        <v>96211000000</v>
      </c>
      <c r="EN61" s="5">
        <v>2161000000000</v>
      </c>
      <c r="EO61" s="5">
        <v>61372000000</v>
      </c>
      <c r="EP61" s="5">
        <v>168940000</v>
      </c>
      <c r="EQ61" s="5">
        <v>2145500</v>
      </c>
    </row>
    <row r="62" spans="1:147">
      <c r="A62" s="5"/>
      <c r="B62" s="5"/>
      <c r="C62" s="5"/>
      <c r="D62" s="5"/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117340000000000</v>
      </c>
      <c r="AQ62" s="5">
        <v>117340000000000</v>
      </c>
      <c r="AR62" s="5">
        <v>0</v>
      </c>
      <c r="AS62" s="5">
        <v>0</v>
      </c>
      <c r="AT62" s="5">
        <v>19998000000000</v>
      </c>
      <c r="AU62" s="5">
        <v>19998000000000</v>
      </c>
      <c r="AV62" s="5">
        <v>1720700000000</v>
      </c>
      <c r="AW62" s="5">
        <v>1720700000000</v>
      </c>
      <c r="AX62" s="5">
        <v>0</v>
      </c>
      <c r="AY62" s="5">
        <v>0</v>
      </c>
      <c r="AZ62" s="5">
        <v>32304000000000</v>
      </c>
      <c r="BA62" s="5">
        <v>29868000000000</v>
      </c>
      <c r="BB62" s="5">
        <v>2700900000000</v>
      </c>
      <c r="BC62" s="5">
        <v>1999200000000</v>
      </c>
      <c r="BD62" s="5">
        <v>10971000000000</v>
      </c>
      <c r="BE62" s="5">
        <v>3893800000000</v>
      </c>
      <c r="BF62" s="5">
        <v>4999000000000</v>
      </c>
      <c r="BG62" s="5">
        <v>2987400000000</v>
      </c>
      <c r="BH62" s="5">
        <v>15547000000000</v>
      </c>
      <c r="BI62" s="5">
        <v>8134200000000</v>
      </c>
      <c r="BJ62" s="5">
        <v>19863000000000</v>
      </c>
      <c r="BK62" s="5">
        <v>12547000000000</v>
      </c>
      <c r="BL62" s="5">
        <v>83706000000000</v>
      </c>
      <c r="BM62" s="5">
        <v>59046000000000</v>
      </c>
      <c r="BN62" s="5">
        <v>44690000000000</v>
      </c>
      <c r="BO62" s="5">
        <v>18381000000000</v>
      </c>
      <c r="BP62" s="5">
        <v>137290000000000</v>
      </c>
      <c r="BQ62" s="5">
        <v>54365000000000</v>
      </c>
      <c r="BR62" s="5">
        <v>62881000000000</v>
      </c>
      <c r="BS62" s="5">
        <v>16695000000000</v>
      </c>
      <c r="BT62" s="5">
        <v>185570000000000</v>
      </c>
      <c r="BU62" s="5">
        <v>47414000000000</v>
      </c>
      <c r="BV62" s="5">
        <v>263540000000000</v>
      </c>
      <c r="BW62" s="5">
        <v>88549000000000</v>
      </c>
      <c r="BX62" s="5">
        <v>167630000000000</v>
      </c>
      <c r="BY62" s="5">
        <v>25613000000000</v>
      </c>
      <c r="BZ62" s="5">
        <v>331480000000000</v>
      </c>
      <c r="CA62" s="5">
        <v>40739000000000</v>
      </c>
      <c r="CB62" s="5">
        <v>424540000000000</v>
      </c>
      <c r="CC62" s="5">
        <v>41308000000000</v>
      </c>
      <c r="CD62" s="5">
        <v>475680000000000</v>
      </c>
      <c r="CE62" s="5">
        <v>39243000000000</v>
      </c>
      <c r="CF62" s="5">
        <v>603080000000000</v>
      </c>
      <c r="CG62" s="5">
        <v>38235000000000</v>
      </c>
      <c r="CH62" s="5">
        <v>631100000000000</v>
      </c>
      <c r="CI62" s="5">
        <v>34332000000000</v>
      </c>
      <c r="CJ62" s="5">
        <v>719970000000000</v>
      </c>
      <c r="CK62" s="5">
        <v>35927000000000</v>
      </c>
      <c r="CL62" s="5">
        <v>839800000000000</v>
      </c>
      <c r="CM62" s="5">
        <v>31996000000000</v>
      </c>
      <c r="CN62" s="5">
        <v>921620000000000</v>
      </c>
      <c r="CO62" s="5">
        <v>29215000000000</v>
      </c>
      <c r="CP62" s="5">
        <v>1031300000000000</v>
      </c>
      <c r="CQ62" s="5">
        <v>29597000000000</v>
      </c>
      <c r="CR62" s="5">
        <v>1051800000000000</v>
      </c>
      <c r="CS62" s="5">
        <v>27453000000000</v>
      </c>
      <c r="CT62" s="5">
        <v>1053600000000000</v>
      </c>
      <c r="CU62" s="5">
        <v>24127000000000</v>
      </c>
      <c r="CV62" s="5">
        <v>975380000000000</v>
      </c>
      <c r="CW62" s="5">
        <v>19703000000000</v>
      </c>
      <c r="CX62" s="5">
        <v>900740000000000</v>
      </c>
      <c r="CY62" s="5">
        <v>17654000000000</v>
      </c>
      <c r="CZ62" s="5">
        <v>823040000000000</v>
      </c>
      <c r="DA62" s="5">
        <v>14321000000000</v>
      </c>
      <c r="DB62" s="5">
        <v>688980000000000</v>
      </c>
      <c r="DC62" s="5">
        <v>11713000000000</v>
      </c>
      <c r="DD62" s="5">
        <v>551410000000000</v>
      </c>
      <c r="DE62" s="5">
        <v>9098200000000</v>
      </c>
      <c r="DF62" s="5">
        <v>416630000000000</v>
      </c>
      <c r="DG62" s="5">
        <v>6749400000000</v>
      </c>
      <c r="DH62" s="5">
        <v>319660000000000</v>
      </c>
      <c r="DI62" s="5">
        <v>5274300000000</v>
      </c>
      <c r="DJ62" s="5">
        <v>222180000000000</v>
      </c>
      <c r="DK62" s="5">
        <v>3821500000000</v>
      </c>
      <c r="DL62" s="5">
        <v>152790000000000</v>
      </c>
      <c r="DM62" s="5">
        <v>2826700000000</v>
      </c>
      <c r="DN62" s="5">
        <v>108690000000000</v>
      </c>
      <c r="DO62" s="5">
        <v>2173800000000</v>
      </c>
      <c r="DP62" s="5">
        <v>76645000000000</v>
      </c>
      <c r="DQ62" s="5">
        <v>1548200000000</v>
      </c>
      <c r="DR62" s="5">
        <v>56869000000000</v>
      </c>
      <c r="DS62" s="5">
        <v>1251100000000</v>
      </c>
      <c r="DT62" s="5">
        <v>39909000000000</v>
      </c>
      <c r="DU62" s="5">
        <v>881980000000</v>
      </c>
      <c r="DV62" s="5">
        <v>28069000000000</v>
      </c>
      <c r="DW62" s="5">
        <v>673670000000</v>
      </c>
      <c r="DX62" s="5">
        <v>20363000000000</v>
      </c>
      <c r="DY62" s="5">
        <v>494810000000</v>
      </c>
      <c r="DZ62" s="5">
        <v>15602000000000</v>
      </c>
      <c r="EA62" s="5">
        <v>402530000000</v>
      </c>
      <c r="EB62" s="5">
        <v>11525000000000</v>
      </c>
      <c r="EC62" s="5">
        <v>306570000000</v>
      </c>
      <c r="ED62" s="5">
        <v>8327800000000</v>
      </c>
      <c r="EE62" s="5">
        <v>212360000000</v>
      </c>
      <c r="EF62" s="5">
        <v>5824500000000</v>
      </c>
      <c r="EG62" s="5">
        <v>168910000000</v>
      </c>
      <c r="EH62" s="5">
        <v>4444200000000</v>
      </c>
      <c r="EI62" s="5">
        <v>123110000000</v>
      </c>
      <c r="EJ62" s="5">
        <v>3312900000000</v>
      </c>
      <c r="EK62" s="5">
        <v>93754000000</v>
      </c>
      <c r="EL62" s="5">
        <v>2530600000000</v>
      </c>
      <c r="EM62" s="5">
        <v>71617000000</v>
      </c>
      <c r="EN62" s="5">
        <v>1798400000000</v>
      </c>
      <c r="EO62" s="5">
        <v>50894000000</v>
      </c>
      <c r="EP62" s="5">
        <v>115560000</v>
      </c>
      <c r="EQ62" s="5">
        <v>1513900</v>
      </c>
    </row>
    <row r="63" spans="1:147">
      <c r="A63" s="5"/>
      <c r="B63" s="5"/>
      <c r="C63" s="5"/>
      <c r="D63" s="5"/>
      <c r="E63" s="5">
        <v>1278000000000000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3055200000000</v>
      </c>
      <c r="AQ63" s="5">
        <v>3055200000000</v>
      </c>
      <c r="AR63" s="5">
        <v>0</v>
      </c>
      <c r="AS63" s="5">
        <v>0</v>
      </c>
      <c r="AT63" s="5">
        <v>0</v>
      </c>
      <c r="AU63" s="5">
        <v>0</v>
      </c>
      <c r="AV63" s="5">
        <v>3066800000000</v>
      </c>
      <c r="AW63" s="5">
        <v>2168500000000</v>
      </c>
      <c r="AX63" s="5">
        <v>1217400000000</v>
      </c>
      <c r="AY63" s="5">
        <v>1217400000000</v>
      </c>
      <c r="AZ63" s="5">
        <v>9970300000000</v>
      </c>
      <c r="BA63" s="5">
        <v>4791700000000</v>
      </c>
      <c r="BB63" s="5">
        <v>12150000000000</v>
      </c>
      <c r="BC63" s="5">
        <v>7827200000000</v>
      </c>
      <c r="BD63" s="5">
        <v>13698000000000</v>
      </c>
      <c r="BE63" s="5">
        <v>6454700000000</v>
      </c>
      <c r="BF63" s="5">
        <v>3599400000000</v>
      </c>
      <c r="BG63" s="5">
        <v>1599600000000</v>
      </c>
      <c r="BH63" s="5">
        <v>20858000000000</v>
      </c>
      <c r="BI63" s="5">
        <v>8063600000000</v>
      </c>
      <c r="BJ63" s="5">
        <v>36236000000000</v>
      </c>
      <c r="BK63" s="5">
        <v>13458000000000</v>
      </c>
      <c r="BL63" s="5">
        <v>42022000000000</v>
      </c>
      <c r="BM63" s="5">
        <v>15662000000000</v>
      </c>
      <c r="BN63" s="5">
        <v>91066000000000</v>
      </c>
      <c r="BO63" s="5">
        <v>51862000000000</v>
      </c>
      <c r="BP63" s="5">
        <v>85335000000000</v>
      </c>
      <c r="BQ63" s="5">
        <v>33545000000000</v>
      </c>
      <c r="BR63" s="5">
        <v>151840000000000</v>
      </c>
      <c r="BS63" s="5">
        <v>34392000000000</v>
      </c>
      <c r="BT63" s="5">
        <v>192210000000000</v>
      </c>
      <c r="BU63" s="5">
        <v>45860000000000</v>
      </c>
      <c r="BV63" s="5">
        <v>368720000000000</v>
      </c>
      <c r="BW63" s="5">
        <v>70794000000000</v>
      </c>
      <c r="BX63" s="5">
        <v>290230000000000</v>
      </c>
      <c r="BY63" s="5">
        <v>32332000000000</v>
      </c>
      <c r="BZ63" s="5">
        <v>503740000000000</v>
      </c>
      <c r="CA63" s="5">
        <v>53547000000000</v>
      </c>
      <c r="CB63" s="5">
        <v>477940000000000</v>
      </c>
      <c r="CC63" s="5">
        <v>37662000000000</v>
      </c>
      <c r="CD63" s="5">
        <v>627220000000000</v>
      </c>
      <c r="CE63" s="5">
        <v>42400000000000</v>
      </c>
      <c r="CF63" s="5">
        <v>832000000000000</v>
      </c>
      <c r="CG63" s="5">
        <v>47507000000000</v>
      </c>
      <c r="CH63" s="5">
        <v>965840000000000</v>
      </c>
      <c r="CI63" s="5">
        <v>43849000000000</v>
      </c>
      <c r="CJ63" s="5">
        <v>936310000000000</v>
      </c>
      <c r="CK63" s="5">
        <v>35861000000000</v>
      </c>
      <c r="CL63" s="5">
        <v>1110800000000000</v>
      </c>
      <c r="CM63" s="5">
        <v>36767000000000</v>
      </c>
      <c r="CN63" s="5">
        <v>1142700000000000</v>
      </c>
      <c r="CO63" s="5">
        <v>33252000000000</v>
      </c>
      <c r="CP63" s="5">
        <v>1160800000000000</v>
      </c>
      <c r="CQ63" s="5">
        <v>30646000000000</v>
      </c>
      <c r="CR63" s="5">
        <v>1189000000000000</v>
      </c>
      <c r="CS63" s="5">
        <v>27824000000000</v>
      </c>
      <c r="CT63" s="5">
        <v>1139700000000000</v>
      </c>
      <c r="CU63" s="5">
        <v>23364000000000</v>
      </c>
      <c r="CV63" s="5">
        <v>1049900000000000</v>
      </c>
      <c r="CW63" s="5">
        <v>19738000000000</v>
      </c>
      <c r="CX63" s="5">
        <v>891470000000000</v>
      </c>
      <c r="CY63" s="5">
        <v>15601000000000</v>
      </c>
      <c r="CZ63" s="5">
        <v>747060000000000</v>
      </c>
      <c r="DA63" s="5">
        <v>12401000000000</v>
      </c>
      <c r="DB63" s="5">
        <v>599390000000000</v>
      </c>
      <c r="DC63" s="5">
        <v>9710200000000</v>
      </c>
      <c r="DD63" s="5">
        <v>473190000000000</v>
      </c>
      <c r="DE63" s="5">
        <v>7618300000000</v>
      </c>
      <c r="DF63" s="5">
        <v>343940000000000</v>
      </c>
      <c r="DG63" s="5">
        <v>5778200000000</v>
      </c>
      <c r="DH63" s="5">
        <v>234240000000000</v>
      </c>
      <c r="DI63" s="5">
        <v>4099200000000</v>
      </c>
      <c r="DJ63" s="5">
        <v>171350000000000</v>
      </c>
      <c r="DK63" s="5">
        <v>3135800000000</v>
      </c>
      <c r="DL63" s="5">
        <v>116040000000000</v>
      </c>
      <c r="DM63" s="5">
        <v>2390400000000</v>
      </c>
      <c r="DN63" s="5">
        <v>81365000000000</v>
      </c>
      <c r="DO63" s="5">
        <v>1749300000000</v>
      </c>
      <c r="DP63" s="5">
        <v>58357000000000</v>
      </c>
      <c r="DQ63" s="5">
        <v>1272200000000</v>
      </c>
      <c r="DR63" s="5">
        <v>41319000000000</v>
      </c>
      <c r="DS63" s="5">
        <v>917280000000</v>
      </c>
      <c r="DT63" s="5">
        <v>29376000000000</v>
      </c>
      <c r="DU63" s="5">
        <v>675640000000</v>
      </c>
      <c r="DV63" s="5">
        <v>21792000000000</v>
      </c>
      <c r="DW63" s="5">
        <v>546970000000</v>
      </c>
      <c r="DX63" s="5">
        <v>16131000000000</v>
      </c>
      <c r="DY63" s="5">
        <v>408110000000</v>
      </c>
      <c r="DZ63" s="5">
        <v>12029000000000</v>
      </c>
      <c r="EA63" s="5">
        <v>334420000000</v>
      </c>
      <c r="EB63" s="5">
        <v>8673600000000</v>
      </c>
      <c r="EC63" s="5">
        <v>231580000000</v>
      </c>
      <c r="ED63" s="5">
        <v>6624600000000</v>
      </c>
      <c r="EE63" s="5">
        <v>184160000000</v>
      </c>
      <c r="EF63" s="5">
        <v>4754700000000</v>
      </c>
      <c r="EG63" s="5">
        <v>143590000000</v>
      </c>
      <c r="EH63" s="5">
        <v>3398100000000</v>
      </c>
      <c r="EI63" s="5">
        <v>96168000000</v>
      </c>
      <c r="EJ63" s="5">
        <v>2708300000000</v>
      </c>
      <c r="EK63" s="5">
        <v>82604000000</v>
      </c>
      <c r="EL63" s="5">
        <v>1777700000000</v>
      </c>
      <c r="EM63" s="5">
        <v>54576000000</v>
      </c>
      <c r="EN63" s="5">
        <v>1420800000000</v>
      </c>
      <c r="EO63" s="5">
        <v>42339000000</v>
      </c>
      <c r="EP63" s="5">
        <v>80443000</v>
      </c>
      <c r="EQ63" s="5">
        <v>1182500</v>
      </c>
    </row>
    <row r="64" spans="1:147">
      <c r="A64" s="5"/>
      <c r="B64" s="5"/>
      <c r="C64" s="5"/>
      <c r="D64" s="5"/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4324800000000</v>
      </c>
      <c r="AM64" s="5">
        <v>4324800000000</v>
      </c>
      <c r="AN64" s="5">
        <v>0</v>
      </c>
      <c r="AO64" s="5">
        <v>0</v>
      </c>
      <c r="AP64" s="5">
        <v>0</v>
      </c>
      <c r="AQ64" s="5">
        <v>0</v>
      </c>
      <c r="AR64" s="5">
        <v>0</v>
      </c>
      <c r="AS64" s="5">
        <v>0</v>
      </c>
      <c r="AT64" s="5">
        <v>4268700000000</v>
      </c>
      <c r="AU64" s="5">
        <v>3074700000000</v>
      </c>
      <c r="AV64" s="5">
        <v>83409000000000</v>
      </c>
      <c r="AW64" s="5">
        <v>82057000000000</v>
      </c>
      <c r="AX64" s="5">
        <v>2183500000000</v>
      </c>
      <c r="AY64" s="5">
        <v>1534600000000</v>
      </c>
      <c r="AZ64" s="5">
        <v>8776100000000</v>
      </c>
      <c r="BA64" s="5">
        <v>5597400000000</v>
      </c>
      <c r="BB64" s="5">
        <v>3436600000000</v>
      </c>
      <c r="BC64" s="5">
        <v>1536900000000</v>
      </c>
      <c r="BD64" s="5">
        <v>4134100000000</v>
      </c>
      <c r="BE64" s="5">
        <v>1584600000000</v>
      </c>
      <c r="BF64" s="5">
        <v>12104000000000</v>
      </c>
      <c r="BG64" s="5">
        <v>3587700000000</v>
      </c>
      <c r="BH64" s="5">
        <v>44363000000000</v>
      </c>
      <c r="BI64" s="5">
        <v>16588000000000</v>
      </c>
      <c r="BJ64" s="5">
        <v>104280000000000</v>
      </c>
      <c r="BK64" s="5">
        <v>53702000000000</v>
      </c>
      <c r="BL64" s="5">
        <v>49937000000000</v>
      </c>
      <c r="BM64" s="5">
        <v>11895000000000</v>
      </c>
      <c r="BN64" s="5">
        <v>132440000000000</v>
      </c>
      <c r="BO64" s="5">
        <v>58154000000000</v>
      </c>
      <c r="BP64" s="5">
        <v>96820000000000</v>
      </c>
      <c r="BQ64" s="5">
        <v>30643000000000</v>
      </c>
      <c r="BR64" s="5">
        <v>270070000000000</v>
      </c>
      <c r="BS64" s="5">
        <v>71056000000000</v>
      </c>
      <c r="BT64" s="5">
        <v>242780000000000</v>
      </c>
      <c r="BU64" s="5">
        <v>40981000000000</v>
      </c>
      <c r="BV64" s="5">
        <v>417310000000000</v>
      </c>
      <c r="BW64" s="5">
        <v>50954000000000</v>
      </c>
      <c r="BX64" s="5">
        <v>483490000000000</v>
      </c>
      <c r="BY64" s="5">
        <v>56956000000000</v>
      </c>
      <c r="BZ64" s="5">
        <v>666330000000000</v>
      </c>
      <c r="CA64" s="5">
        <v>52840000000000</v>
      </c>
      <c r="CB64" s="5">
        <v>753210000000000</v>
      </c>
      <c r="CC64" s="5">
        <v>63646000000000</v>
      </c>
      <c r="CD64" s="5">
        <v>905640000000000</v>
      </c>
      <c r="CE64" s="5">
        <v>53252000000000</v>
      </c>
      <c r="CF64" s="5">
        <v>989360000000000</v>
      </c>
      <c r="CG64" s="5">
        <v>43631000000000</v>
      </c>
      <c r="CH64" s="5">
        <v>1109700000000000</v>
      </c>
      <c r="CI64" s="5">
        <v>41060000000000</v>
      </c>
      <c r="CJ64" s="5">
        <v>1197700000000000</v>
      </c>
      <c r="CK64" s="5">
        <v>41440000000000</v>
      </c>
      <c r="CL64" s="5">
        <v>1268900000000000</v>
      </c>
      <c r="CM64" s="5">
        <v>35150000000000</v>
      </c>
      <c r="CN64" s="5">
        <v>1352700000000000</v>
      </c>
      <c r="CO64" s="5">
        <v>34088000000000</v>
      </c>
      <c r="CP64" s="5">
        <v>1284200000000000</v>
      </c>
      <c r="CQ64" s="5">
        <v>28766000000000</v>
      </c>
      <c r="CR64" s="5">
        <v>1278700000000000</v>
      </c>
      <c r="CS64" s="5">
        <v>25829000000000</v>
      </c>
      <c r="CT64" s="5">
        <v>1172600000000000</v>
      </c>
      <c r="CU64" s="5">
        <v>21224000000000</v>
      </c>
      <c r="CV64" s="5">
        <v>990830000000000</v>
      </c>
      <c r="CW64" s="5">
        <v>17141000000000</v>
      </c>
      <c r="CX64" s="5">
        <v>845870000000000</v>
      </c>
      <c r="CY64" s="5">
        <v>13872000000000</v>
      </c>
      <c r="CZ64" s="5">
        <v>686250000000000</v>
      </c>
      <c r="DA64" s="5">
        <v>11117000000000</v>
      </c>
      <c r="DB64" s="5">
        <v>505050000000000</v>
      </c>
      <c r="DC64" s="5">
        <v>8181800000000</v>
      </c>
      <c r="DD64" s="5">
        <v>378340000000000</v>
      </c>
      <c r="DE64" s="5">
        <v>6204700000000</v>
      </c>
      <c r="DF64" s="5">
        <v>261110000000000</v>
      </c>
      <c r="DG64" s="5">
        <v>4543300000000</v>
      </c>
      <c r="DH64" s="5">
        <v>180920000000000</v>
      </c>
      <c r="DI64" s="5">
        <v>3528000000000</v>
      </c>
      <c r="DJ64" s="5">
        <v>127080000000000</v>
      </c>
      <c r="DK64" s="5">
        <v>2605200000000</v>
      </c>
      <c r="DL64" s="5">
        <v>87496000000000</v>
      </c>
      <c r="DM64" s="5">
        <v>1863700000000</v>
      </c>
      <c r="DN64" s="5">
        <v>61740000000000</v>
      </c>
      <c r="DO64" s="5">
        <v>1352100000000</v>
      </c>
      <c r="DP64" s="5">
        <v>43702000000000</v>
      </c>
      <c r="DQ64" s="5">
        <v>1009500000000</v>
      </c>
      <c r="DR64" s="5">
        <v>31252000000000</v>
      </c>
      <c r="DS64" s="5">
        <v>737540000000</v>
      </c>
      <c r="DT64" s="5">
        <v>23140000000000</v>
      </c>
      <c r="DU64" s="5">
        <v>590080000000</v>
      </c>
      <c r="DV64" s="5">
        <v>16777000000000</v>
      </c>
      <c r="DW64" s="5">
        <v>437870000000</v>
      </c>
      <c r="DX64" s="5">
        <v>12635000000000</v>
      </c>
      <c r="DY64" s="5">
        <v>347480000000</v>
      </c>
      <c r="DZ64" s="5">
        <v>9057700000000</v>
      </c>
      <c r="EA64" s="5">
        <v>253610000000</v>
      </c>
      <c r="EB64" s="5">
        <v>6753900000000</v>
      </c>
      <c r="EC64" s="5">
        <v>184380000000</v>
      </c>
      <c r="ED64" s="5">
        <v>5154100000000</v>
      </c>
      <c r="EE64" s="5">
        <v>139680000000</v>
      </c>
      <c r="EF64" s="5">
        <v>3544100000000</v>
      </c>
      <c r="EG64" s="5">
        <v>103490000000</v>
      </c>
      <c r="EH64" s="5">
        <v>2617400000000</v>
      </c>
      <c r="EI64" s="5">
        <v>75904000000</v>
      </c>
      <c r="EJ64" s="5">
        <v>2050600000000</v>
      </c>
      <c r="EK64" s="5">
        <v>64183000000</v>
      </c>
      <c r="EL64" s="5">
        <v>1474400000000</v>
      </c>
      <c r="EM64" s="5">
        <v>43938000000</v>
      </c>
      <c r="EN64" s="5">
        <v>1067300000000</v>
      </c>
      <c r="EO64" s="5">
        <v>34153000000</v>
      </c>
      <c r="EP64" s="5">
        <v>53029000</v>
      </c>
      <c r="EQ64" s="5">
        <v>869680</v>
      </c>
    </row>
    <row r="65" spans="1:147">
      <c r="A65" s="5"/>
      <c r="B65" s="5"/>
      <c r="C65" s="5"/>
      <c r="D65" s="5"/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3059800000000</v>
      </c>
      <c r="AO65" s="5">
        <v>3059800000000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66251000000000</v>
      </c>
      <c r="AW65" s="5">
        <v>63840000000000</v>
      </c>
      <c r="AX65" s="5">
        <v>5500600000000</v>
      </c>
      <c r="AY65" s="5">
        <v>3091900000000</v>
      </c>
      <c r="AZ65" s="5">
        <v>7692900000000</v>
      </c>
      <c r="BA65" s="5">
        <v>3091800000000</v>
      </c>
      <c r="BB65" s="5">
        <v>10644000000000</v>
      </c>
      <c r="BC65" s="5">
        <v>3353900000000</v>
      </c>
      <c r="BD65" s="5">
        <v>12605000000000</v>
      </c>
      <c r="BE65" s="5">
        <v>4425700000000</v>
      </c>
      <c r="BF65" s="5">
        <v>23426000000000</v>
      </c>
      <c r="BG65" s="5">
        <v>6978600000000</v>
      </c>
      <c r="BH65" s="5">
        <v>102210000000000</v>
      </c>
      <c r="BI65" s="5">
        <v>40843000000000</v>
      </c>
      <c r="BJ65" s="5">
        <v>88951000000000</v>
      </c>
      <c r="BK65" s="5">
        <v>31284000000000</v>
      </c>
      <c r="BL65" s="5">
        <v>184660000000000</v>
      </c>
      <c r="BM65" s="5">
        <v>64115000000000</v>
      </c>
      <c r="BN65" s="5">
        <v>155510000000000</v>
      </c>
      <c r="BO65" s="5">
        <v>36374000000000</v>
      </c>
      <c r="BP65" s="5">
        <v>246750000000000</v>
      </c>
      <c r="BQ65" s="5">
        <v>44341000000000</v>
      </c>
      <c r="BR65" s="5">
        <v>339690000000000</v>
      </c>
      <c r="BS65" s="5">
        <v>59955000000000</v>
      </c>
      <c r="BT65" s="5">
        <v>379960000000000</v>
      </c>
      <c r="BU65" s="5">
        <v>46279000000000</v>
      </c>
      <c r="BV65" s="5">
        <v>522630000000000</v>
      </c>
      <c r="BW65" s="5">
        <v>58691000000000</v>
      </c>
      <c r="BX65" s="5">
        <v>753610000000000</v>
      </c>
      <c r="BY65" s="5">
        <v>66469000000000</v>
      </c>
      <c r="BZ65" s="5">
        <v>781690000000000</v>
      </c>
      <c r="CA65" s="5">
        <v>66913000000000</v>
      </c>
      <c r="CB65" s="5">
        <v>1002500000000000</v>
      </c>
      <c r="CC65" s="5">
        <v>65864000000000</v>
      </c>
      <c r="CD65" s="5">
        <v>1098700000000000</v>
      </c>
      <c r="CE65" s="5">
        <v>50538000000000</v>
      </c>
      <c r="CF65" s="5">
        <v>1287700000000000</v>
      </c>
      <c r="CG65" s="5">
        <v>46615000000000</v>
      </c>
      <c r="CH65" s="5">
        <v>1505100000000000</v>
      </c>
      <c r="CI65" s="5">
        <v>48615000000000</v>
      </c>
      <c r="CJ65" s="5">
        <v>1451200000000000</v>
      </c>
      <c r="CK65" s="5">
        <v>40342000000000</v>
      </c>
      <c r="CL65" s="5">
        <v>1522400000000000</v>
      </c>
      <c r="CM65" s="5">
        <v>39734000000000</v>
      </c>
      <c r="CN65" s="5">
        <v>1484500000000000</v>
      </c>
      <c r="CO65" s="5">
        <v>34144000000000</v>
      </c>
      <c r="CP65" s="5">
        <v>1332300000000000</v>
      </c>
      <c r="CQ65" s="5">
        <v>26913000000000</v>
      </c>
      <c r="CR65" s="5">
        <v>1305400000000000</v>
      </c>
      <c r="CS65" s="5">
        <v>23629000000000</v>
      </c>
      <c r="CT65" s="5">
        <v>1145200000000000</v>
      </c>
      <c r="CU65" s="5">
        <v>19239000000000</v>
      </c>
      <c r="CV65" s="5">
        <v>946930000000000</v>
      </c>
      <c r="CW65" s="5">
        <v>16003000000000</v>
      </c>
      <c r="CX65" s="5">
        <v>721810000000000</v>
      </c>
      <c r="CY65" s="5">
        <v>11693000000000</v>
      </c>
      <c r="CZ65" s="5">
        <v>566360000000000</v>
      </c>
      <c r="DA65" s="5">
        <v>9231700000000</v>
      </c>
      <c r="DB65" s="5">
        <v>401350000000000</v>
      </c>
      <c r="DC65" s="5">
        <v>6622200000000</v>
      </c>
      <c r="DD65" s="5">
        <v>280880000000000</v>
      </c>
      <c r="DE65" s="5">
        <v>4971600000000</v>
      </c>
      <c r="DF65" s="5">
        <v>190540000000000</v>
      </c>
      <c r="DG65" s="5">
        <v>3944200000000</v>
      </c>
      <c r="DH65" s="5">
        <v>138420000000000</v>
      </c>
      <c r="DI65" s="5">
        <v>2810000000000</v>
      </c>
      <c r="DJ65" s="5">
        <v>92126000000000</v>
      </c>
      <c r="DK65" s="5">
        <v>2026800000000</v>
      </c>
      <c r="DL65" s="5">
        <v>67226000000000</v>
      </c>
      <c r="DM65" s="5">
        <v>1579800000000</v>
      </c>
      <c r="DN65" s="5">
        <v>46879000000000</v>
      </c>
      <c r="DO65" s="5">
        <v>1148500000000</v>
      </c>
      <c r="DP65" s="5">
        <v>35405000000000</v>
      </c>
      <c r="DQ65" s="5">
        <v>885120000000</v>
      </c>
      <c r="DR65" s="5">
        <v>22941000000000</v>
      </c>
      <c r="DS65" s="5">
        <v>578100000000</v>
      </c>
      <c r="DT65" s="5">
        <v>18158000000000</v>
      </c>
      <c r="DU65" s="5">
        <v>475740000000</v>
      </c>
      <c r="DV65" s="5">
        <v>13193000000000</v>
      </c>
      <c r="DW65" s="5">
        <v>353570000000</v>
      </c>
      <c r="DX65" s="5">
        <v>10379000000000</v>
      </c>
      <c r="DY65" s="5">
        <v>315510000000</v>
      </c>
      <c r="DZ65" s="5">
        <v>7145100000000</v>
      </c>
      <c r="EA65" s="5">
        <v>212210000000</v>
      </c>
      <c r="EB65" s="5">
        <v>5389500000000</v>
      </c>
      <c r="EC65" s="5">
        <v>155220000000</v>
      </c>
      <c r="ED65" s="5">
        <v>3982700000000</v>
      </c>
      <c r="EE65" s="5">
        <v>126250000000</v>
      </c>
      <c r="EF65" s="5">
        <v>2814600000000</v>
      </c>
      <c r="EG65" s="5">
        <v>91756000000</v>
      </c>
      <c r="EH65" s="5">
        <v>1961000000000</v>
      </c>
      <c r="EI65" s="5">
        <v>63340000000</v>
      </c>
      <c r="EJ65" s="5">
        <v>1481900000000</v>
      </c>
      <c r="EK65" s="5">
        <v>45938000000</v>
      </c>
      <c r="EL65" s="5">
        <v>1049000000000</v>
      </c>
      <c r="EM65" s="5">
        <v>34723000000</v>
      </c>
      <c r="EN65" s="5">
        <v>807900000000</v>
      </c>
      <c r="EO65" s="5">
        <v>27873000000</v>
      </c>
      <c r="EP65" s="5">
        <v>35239000</v>
      </c>
      <c r="EQ65" s="5">
        <v>613170</v>
      </c>
    </row>
    <row r="66" spans="1:147">
      <c r="A66" s="5"/>
      <c r="B66" s="5"/>
      <c r="C66" s="5"/>
      <c r="D66" s="5"/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4320600000000</v>
      </c>
      <c r="AK66" s="5">
        <v>4320600000000</v>
      </c>
      <c r="AL66" s="5">
        <v>0</v>
      </c>
      <c r="AM66" s="5">
        <v>0</v>
      </c>
      <c r="AN66" s="5">
        <v>0</v>
      </c>
      <c r="AO66" s="5">
        <v>0</v>
      </c>
      <c r="AP66" s="5">
        <v>2163100000000</v>
      </c>
      <c r="AQ66" s="5">
        <v>2163100000000</v>
      </c>
      <c r="AR66" s="5">
        <v>7663400000000</v>
      </c>
      <c r="AS66" s="5">
        <v>6187400000000</v>
      </c>
      <c r="AT66" s="5">
        <v>28765000000000</v>
      </c>
      <c r="AU66" s="5">
        <v>26101000000000</v>
      </c>
      <c r="AV66" s="5">
        <v>44968000000000</v>
      </c>
      <c r="AW66" s="5">
        <v>37049000000000</v>
      </c>
      <c r="AX66" s="5">
        <v>85527000000000</v>
      </c>
      <c r="AY66" s="5">
        <v>79027000000000</v>
      </c>
      <c r="AZ66" s="5">
        <v>8915900000000</v>
      </c>
      <c r="BA66" s="5">
        <v>3858800000000</v>
      </c>
      <c r="BB66" s="5">
        <v>33320000000000</v>
      </c>
      <c r="BC66" s="5">
        <v>11475000000000</v>
      </c>
      <c r="BD66" s="5">
        <v>95756000000000</v>
      </c>
      <c r="BE66" s="5">
        <v>42765000000000</v>
      </c>
      <c r="BF66" s="5">
        <v>145110000000000</v>
      </c>
      <c r="BG66" s="5">
        <v>52499000000000</v>
      </c>
      <c r="BH66" s="5">
        <v>135800000000000</v>
      </c>
      <c r="BI66" s="5">
        <v>36165000000000</v>
      </c>
      <c r="BJ66" s="5">
        <v>212130000000000</v>
      </c>
      <c r="BK66" s="5">
        <v>57147000000000</v>
      </c>
      <c r="BL66" s="5">
        <v>193760000000000</v>
      </c>
      <c r="BM66" s="5">
        <v>44332000000000</v>
      </c>
      <c r="BN66" s="5">
        <v>466870000000000</v>
      </c>
      <c r="BO66" s="5">
        <v>93934000000000</v>
      </c>
      <c r="BP66" s="5">
        <v>492300000000000</v>
      </c>
      <c r="BQ66" s="5">
        <v>83592000000000</v>
      </c>
      <c r="BR66" s="5">
        <v>557230000000000</v>
      </c>
      <c r="BS66" s="5">
        <v>81968000000000</v>
      </c>
      <c r="BT66" s="5">
        <v>587910000000000</v>
      </c>
      <c r="BU66" s="5">
        <v>58850000000000</v>
      </c>
      <c r="BV66" s="5">
        <v>917720000000000</v>
      </c>
      <c r="BW66" s="5">
        <v>97462000000000</v>
      </c>
      <c r="BX66" s="5">
        <v>1071300000000000</v>
      </c>
      <c r="BY66" s="5">
        <v>96093000000000</v>
      </c>
      <c r="BZ66" s="5">
        <v>1205000000000000</v>
      </c>
      <c r="CA66" s="5">
        <v>75556000000000</v>
      </c>
      <c r="CB66" s="5">
        <v>1193100000000000</v>
      </c>
      <c r="CC66" s="5">
        <v>70510000000000</v>
      </c>
      <c r="CD66" s="5">
        <v>1450300000000000</v>
      </c>
      <c r="CE66" s="5">
        <v>68599000000000</v>
      </c>
      <c r="CF66" s="5">
        <v>1605100000000000</v>
      </c>
      <c r="CG66" s="5">
        <v>49919000000000</v>
      </c>
      <c r="CH66" s="5">
        <v>1754400000000000</v>
      </c>
      <c r="CI66" s="5">
        <v>48597000000000</v>
      </c>
      <c r="CJ66" s="5">
        <v>1705600000000000</v>
      </c>
      <c r="CK66" s="5">
        <v>42470000000000</v>
      </c>
      <c r="CL66" s="5">
        <v>1723000000000000</v>
      </c>
      <c r="CM66" s="5">
        <v>37733000000000</v>
      </c>
      <c r="CN66" s="5">
        <v>1600300000000000</v>
      </c>
      <c r="CO66" s="5">
        <v>32007000000000</v>
      </c>
      <c r="CP66" s="5">
        <v>1457400000000000</v>
      </c>
      <c r="CQ66" s="5">
        <v>26962000000000</v>
      </c>
      <c r="CR66" s="5">
        <v>1223800000000000</v>
      </c>
      <c r="CS66" s="5">
        <v>20926000000000</v>
      </c>
      <c r="CT66" s="5">
        <v>1024800000000000</v>
      </c>
      <c r="CU66" s="5">
        <v>16807000000000</v>
      </c>
      <c r="CV66" s="5">
        <v>823280000000000</v>
      </c>
      <c r="CW66" s="5">
        <v>13419000000000</v>
      </c>
      <c r="CX66" s="5">
        <v>616100000000000</v>
      </c>
      <c r="CY66" s="5">
        <v>10474000000000</v>
      </c>
      <c r="CZ66" s="5">
        <v>444150000000000</v>
      </c>
      <c r="DA66" s="5">
        <v>7461700000000</v>
      </c>
      <c r="DB66" s="5">
        <v>306990000000000</v>
      </c>
      <c r="DC66" s="5">
        <v>5495100000000</v>
      </c>
      <c r="DD66" s="5">
        <v>205570000000000</v>
      </c>
      <c r="DE66" s="5">
        <v>3988000000000</v>
      </c>
      <c r="DF66" s="5">
        <v>143260000000000</v>
      </c>
      <c r="DG66" s="5">
        <v>3108700000000</v>
      </c>
      <c r="DH66" s="5">
        <v>98940000000000</v>
      </c>
      <c r="DI66" s="5">
        <v>2117300000000</v>
      </c>
      <c r="DJ66" s="5">
        <v>69065000000000</v>
      </c>
      <c r="DK66" s="5">
        <v>1629900000000</v>
      </c>
      <c r="DL66" s="5">
        <v>50899000000000</v>
      </c>
      <c r="DM66" s="5">
        <v>1247000000000</v>
      </c>
      <c r="DN66" s="5">
        <v>35894000000000</v>
      </c>
      <c r="DO66" s="5">
        <v>922480000000</v>
      </c>
      <c r="DP66" s="5">
        <v>25331000000000</v>
      </c>
      <c r="DQ66" s="5">
        <v>658600000000</v>
      </c>
      <c r="DR66" s="5">
        <v>18842000000000</v>
      </c>
      <c r="DS66" s="5">
        <v>557710000000</v>
      </c>
      <c r="DT66" s="5">
        <v>13856000000000</v>
      </c>
      <c r="DU66" s="5">
        <v>392140000000</v>
      </c>
      <c r="DV66" s="5">
        <v>9942300000000</v>
      </c>
      <c r="DW66" s="5">
        <v>295290000000</v>
      </c>
      <c r="DX66" s="5">
        <v>7408700000000</v>
      </c>
      <c r="DY66" s="5">
        <v>243750000000</v>
      </c>
      <c r="DZ66" s="5">
        <v>5475500000000</v>
      </c>
      <c r="EA66" s="5">
        <v>163170000000</v>
      </c>
      <c r="EB66" s="5">
        <v>4380400000000</v>
      </c>
      <c r="EC66" s="5">
        <v>136670000000</v>
      </c>
      <c r="ED66" s="5">
        <v>3249000000000</v>
      </c>
      <c r="EE66" s="5">
        <v>97469000000</v>
      </c>
      <c r="EF66" s="5">
        <v>2151700000000</v>
      </c>
      <c r="EG66" s="5">
        <v>70145000000</v>
      </c>
      <c r="EH66" s="5">
        <v>1604200000000</v>
      </c>
      <c r="EI66" s="5">
        <v>59196000000</v>
      </c>
      <c r="EJ66" s="5">
        <v>1175900000000</v>
      </c>
      <c r="EK66" s="5">
        <v>39864000000</v>
      </c>
      <c r="EL66" s="5">
        <v>813850000000</v>
      </c>
      <c r="EM66" s="5">
        <v>28566000000</v>
      </c>
      <c r="EN66" s="5">
        <v>579600000000</v>
      </c>
      <c r="EO66" s="5">
        <v>21039000000</v>
      </c>
      <c r="EP66" s="5">
        <v>23129000</v>
      </c>
      <c r="EQ66" s="5">
        <v>481090</v>
      </c>
    </row>
    <row r="67" spans="1:147">
      <c r="A67" s="5"/>
      <c r="B67" s="5"/>
      <c r="C67" s="5"/>
      <c r="D67" s="5"/>
      <c r="E67" s="5">
        <v>0</v>
      </c>
      <c r="F67" s="5">
        <v>0</v>
      </c>
      <c r="G67" s="5">
        <v>0</v>
      </c>
      <c r="H67" s="5">
        <v>0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10622000000000</v>
      </c>
      <c r="AK67" s="5">
        <v>10622000000000</v>
      </c>
      <c r="AL67" s="5">
        <v>0</v>
      </c>
      <c r="AM67" s="5">
        <v>0</v>
      </c>
      <c r="AN67" s="5">
        <v>0</v>
      </c>
      <c r="AO67" s="5">
        <v>0</v>
      </c>
      <c r="AP67" s="5">
        <v>3861100000000</v>
      </c>
      <c r="AQ67" s="5">
        <v>2730200000000</v>
      </c>
      <c r="AR67" s="5">
        <v>6133600000000</v>
      </c>
      <c r="AS67" s="5">
        <v>3066800000000</v>
      </c>
      <c r="AT67" s="5">
        <v>19631000000000</v>
      </c>
      <c r="AU67" s="5">
        <v>13893000000000</v>
      </c>
      <c r="AV67" s="5">
        <v>11552000000000</v>
      </c>
      <c r="AW67" s="5">
        <v>5850000000000</v>
      </c>
      <c r="AX67" s="5">
        <v>56058000000000</v>
      </c>
      <c r="AY67" s="5">
        <v>24817000000000</v>
      </c>
      <c r="AZ67" s="5">
        <v>17015000000000</v>
      </c>
      <c r="BA67" s="5">
        <v>5623300000000</v>
      </c>
      <c r="BB67" s="5">
        <v>192360000000000</v>
      </c>
      <c r="BC67" s="5">
        <v>85233000000000</v>
      </c>
      <c r="BD67" s="5">
        <v>120050000000000</v>
      </c>
      <c r="BE67" s="5">
        <v>59150000000000</v>
      </c>
      <c r="BF67" s="5">
        <v>388840000000000</v>
      </c>
      <c r="BG67" s="5">
        <v>206400000000000</v>
      </c>
      <c r="BH67" s="5">
        <v>225340000000000</v>
      </c>
      <c r="BI67" s="5">
        <v>70960000000000</v>
      </c>
      <c r="BJ67" s="5">
        <v>151590000000000</v>
      </c>
      <c r="BK67" s="5">
        <v>37487000000000</v>
      </c>
      <c r="BL67" s="5">
        <v>353570000000000</v>
      </c>
      <c r="BM67" s="5">
        <v>72976000000000</v>
      </c>
      <c r="BN67" s="5">
        <v>429940000000000</v>
      </c>
      <c r="BO67" s="5">
        <v>68748000000000</v>
      </c>
      <c r="BP67" s="5">
        <v>435750000000000</v>
      </c>
      <c r="BQ67" s="5">
        <v>53728000000000</v>
      </c>
      <c r="BR67" s="5">
        <v>961760000000000</v>
      </c>
      <c r="BS67" s="5">
        <v>107240000000000</v>
      </c>
      <c r="BT67" s="5">
        <v>799360000000000</v>
      </c>
      <c r="BU67" s="5">
        <v>66507000000000</v>
      </c>
      <c r="BV67" s="5">
        <v>1066400000000000</v>
      </c>
      <c r="BW67" s="5">
        <v>78912000000000</v>
      </c>
      <c r="BX67" s="5">
        <v>1213400000000000</v>
      </c>
      <c r="BY67" s="5">
        <v>82631000000000</v>
      </c>
      <c r="BZ67" s="5">
        <v>1297600000000000</v>
      </c>
      <c r="CA67" s="5">
        <v>78118000000000</v>
      </c>
      <c r="CB67" s="5">
        <v>1657700000000000</v>
      </c>
      <c r="CC67" s="5">
        <v>77249000000000</v>
      </c>
      <c r="CD67" s="5">
        <v>1772900000000000</v>
      </c>
      <c r="CE67" s="5">
        <v>64711000000000</v>
      </c>
      <c r="CF67" s="5">
        <v>1771000000000000</v>
      </c>
      <c r="CG67" s="5">
        <v>49235000000000</v>
      </c>
      <c r="CH67" s="5">
        <v>1929600000000000</v>
      </c>
      <c r="CI67" s="5">
        <v>48626000000000</v>
      </c>
      <c r="CJ67" s="5">
        <v>1873200000000000</v>
      </c>
      <c r="CK67" s="5">
        <v>42709000000000</v>
      </c>
      <c r="CL67" s="5">
        <v>1737200000000000</v>
      </c>
      <c r="CM67" s="5">
        <v>36134000000000</v>
      </c>
      <c r="CN67" s="5">
        <v>1601200000000000</v>
      </c>
      <c r="CO67" s="5">
        <v>28982000000000</v>
      </c>
      <c r="CP67" s="5">
        <v>1390800000000000</v>
      </c>
      <c r="CQ67" s="5">
        <v>24479000000000</v>
      </c>
      <c r="CR67" s="5">
        <v>1146800000000000</v>
      </c>
      <c r="CS67" s="5">
        <v>19037000000000</v>
      </c>
      <c r="CT67" s="5">
        <v>894680000000000</v>
      </c>
      <c r="CU67" s="5">
        <v>14494000000000</v>
      </c>
      <c r="CV67" s="5">
        <v>678620000000000</v>
      </c>
      <c r="CW67" s="5">
        <v>11537000000000</v>
      </c>
      <c r="CX67" s="5">
        <v>477330000000000</v>
      </c>
      <c r="CY67" s="5">
        <v>7971400000000</v>
      </c>
      <c r="CZ67" s="5">
        <v>336660000000000</v>
      </c>
      <c r="DA67" s="5">
        <v>6430300000000</v>
      </c>
      <c r="DB67" s="5">
        <v>224540000000000</v>
      </c>
      <c r="DC67" s="5">
        <v>4423500000000</v>
      </c>
      <c r="DD67" s="5">
        <v>156520000000000</v>
      </c>
      <c r="DE67" s="5">
        <v>3318300000000</v>
      </c>
      <c r="DF67" s="5">
        <v>106440000000000</v>
      </c>
      <c r="DG67" s="5">
        <v>2299200000000</v>
      </c>
      <c r="DH67" s="5">
        <v>78816000000000</v>
      </c>
      <c r="DI67" s="5">
        <v>1907300000000</v>
      </c>
      <c r="DJ67" s="5">
        <v>55044000000000</v>
      </c>
      <c r="DK67" s="5">
        <v>1354100000000</v>
      </c>
      <c r="DL67" s="5">
        <v>38126000000000</v>
      </c>
      <c r="DM67" s="5">
        <v>995090000000</v>
      </c>
      <c r="DN67" s="5">
        <v>28694000000000</v>
      </c>
      <c r="DO67" s="5">
        <v>791970000000</v>
      </c>
      <c r="DP67" s="5">
        <v>19954000000000</v>
      </c>
      <c r="DQ67" s="5">
        <v>566680000000</v>
      </c>
      <c r="DR67" s="5">
        <v>14828000000000</v>
      </c>
      <c r="DS67" s="5">
        <v>467090000000</v>
      </c>
      <c r="DT67" s="5">
        <v>11671000000000</v>
      </c>
      <c r="DU67" s="5">
        <v>364140000000</v>
      </c>
      <c r="DV67" s="5">
        <v>8237500000000</v>
      </c>
      <c r="DW67" s="5">
        <v>257010000000</v>
      </c>
      <c r="DX67" s="5">
        <v>5786300000000</v>
      </c>
      <c r="DY67" s="5">
        <v>186320000000</v>
      </c>
      <c r="DZ67" s="5">
        <v>4206600000000</v>
      </c>
      <c r="EA67" s="5">
        <v>130410000000</v>
      </c>
      <c r="EB67" s="5">
        <v>3157300000000</v>
      </c>
      <c r="EC67" s="5">
        <v>100090000000</v>
      </c>
      <c r="ED67" s="5">
        <v>2378700000000</v>
      </c>
      <c r="EE67" s="5">
        <v>71836000000</v>
      </c>
      <c r="EF67" s="5">
        <v>1658200000000</v>
      </c>
      <c r="EG67" s="5">
        <v>52896000000</v>
      </c>
      <c r="EH67" s="5">
        <v>1227800000000</v>
      </c>
      <c r="EI67" s="5">
        <v>41744000000</v>
      </c>
      <c r="EJ67" s="5">
        <v>847820000000</v>
      </c>
      <c r="EK67" s="5">
        <v>30945000000</v>
      </c>
      <c r="EL67" s="5">
        <v>648130000000</v>
      </c>
      <c r="EM67" s="5">
        <v>24888000000</v>
      </c>
      <c r="EN67" s="5">
        <v>406530000000</v>
      </c>
      <c r="EO67" s="5">
        <v>16099000000</v>
      </c>
      <c r="EP67" s="5">
        <v>14056000</v>
      </c>
      <c r="EQ67" s="5">
        <v>340160</v>
      </c>
    </row>
    <row r="68" spans="1:147">
      <c r="A68" s="5"/>
      <c r="B68" s="5"/>
      <c r="C68" s="5"/>
      <c r="D68" s="5"/>
      <c r="E68" s="5">
        <v>0</v>
      </c>
      <c r="F68" s="5">
        <v>0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13153000000000</v>
      </c>
      <c r="AK68" s="5">
        <v>7939400000000</v>
      </c>
      <c r="AL68" s="5">
        <v>2724200000000</v>
      </c>
      <c r="AM68" s="5">
        <v>2724200000000</v>
      </c>
      <c r="AN68" s="5">
        <v>5199400000000</v>
      </c>
      <c r="AO68" s="5">
        <v>3728000000000</v>
      </c>
      <c r="AP68" s="5">
        <v>3452500000000</v>
      </c>
      <c r="AQ68" s="5">
        <v>2441300000000</v>
      </c>
      <c r="AR68" s="5">
        <v>6938000000000</v>
      </c>
      <c r="AS68" s="5">
        <v>3104100000000</v>
      </c>
      <c r="AT68" s="5">
        <v>29812000000000</v>
      </c>
      <c r="AU68" s="5">
        <v>16051000000000</v>
      </c>
      <c r="AV68" s="5">
        <v>71544000000000</v>
      </c>
      <c r="AW68" s="5">
        <v>47870000000000</v>
      </c>
      <c r="AX68" s="5">
        <v>61631000000000</v>
      </c>
      <c r="AY68" s="5">
        <v>33466000000000</v>
      </c>
      <c r="AZ68" s="5">
        <v>38270000000000</v>
      </c>
      <c r="BA68" s="5">
        <v>12239000000000</v>
      </c>
      <c r="BB68" s="5">
        <v>101630000000000</v>
      </c>
      <c r="BC68" s="5">
        <v>32694000000000</v>
      </c>
      <c r="BD68" s="5">
        <v>257910000000000</v>
      </c>
      <c r="BE68" s="5">
        <v>78094000000000</v>
      </c>
      <c r="BF68" s="5">
        <v>320100000000000</v>
      </c>
      <c r="BG68" s="5">
        <v>78393000000000</v>
      </c>
      <c r="BH68" s="5">
        <v>361070000000000</v>
      </c>
      <c r="BI68" s="5">
        <v>69614000000000</v>
      </c>
      <c r="BJ68" s="5">
        <v>433450000000000</v>
      </c>
      <c r="BK68" s="5">
        <v>76070000000000</v>
      </c>
      <c r="BL68" s="5">
        <v>723470000000000</v>
      </c>
      <c r="BM68" s="5">
        <v>204740000000000</v>
      </c>
      <c r="BN68" s="5">
        <v>589510000000000</v>
      </c>
      <c r="BO68" s="5">
        <v>76814000000000</v>
      </c>
      <c r="BP68" s="5">
        <v>693670000000000</v>
      </c>
      <c r="BQ68" s="5">
        <v>72419000000000</v>
      </c>
      <c r="BR68" s="5">
        <v>991580000000000</v>
      </c>
      <c r="BS68" s="5">
        <v>83689000000000</v>
      </c>
      <c r="BT68" s="5">
        <v>1301200000000000</v>
      </c>
      <c r="BU68" s="5">
        <v>104880000000000</v>
      </c>
      <c r="BV68" s="5">
        <v>1361200000000000</v>
      </c>
      <c r="BW68" s="5">
        <v>128500000000000</v>
      </c>
      <c r="BX68" s="5">
        <v>1526400000000000</v>
      </c>
      <c r="BY68" s="5">
        <v>82425000000000</v>
      </c>
      <c r="BZ68" s="5">
        <v>1624600000000000</v>
      </c>
      <c r="CA68" s="5">
        <v>72132000000000</v>
      </c>
      <c r="CB68" s="5">
        <v>1789900000000000</v>
      </c>
      <c r="CC68" s="5">
        <v>69806000000000</v>
      </c>
      <c r="CD68" s="5">
        <v>2096400000000000</v>
      </c>
      <c r="CE68" s="5">
        <v>57443000000000</v>
      </c>
      <c r="CF68" s="5">
        <v>2170800000000000</v>
      </c>
      <c r="CG68" s="5">
        <v>54922000000000</v>
      </c>
      <c r="CH68" s="5">
        <v>2041500000000000</v>
      </c>
      <c r="CI68" s="5">
        <v>45118000000000</v>
      </c>
      <c r="CJ68" s="5">
        <v>1950200000000000</v>
      </c>
      <c r="CK68" s="5">
        <v>38418000000000</v>
      </c>
      <c r="CL68" s="5">
        <v>1743700000000000</v>
      </c>
      <c r="CM68" s="5">
        <v>31735000000000</v>
      </c>
      <c r="CN68" s="5">
        <v>1493500000000000</v>
      </c>
      <c r="CO68" s="5">
        <v>25837000000000</v>
      </c>
      <c r="CP68" s="5">
        <v>1301200000000000</v>
      </c>
      <c r="CQ68" s="5">
        <v>22121000000000</v>
      </c>
      <c r="CR68" s="5">
        <v>1008500000000000</v>
      </c>
      <c r="CS68" s="5">
        <v>16237000000000</v>
      </c>
      <c r="CT68" s="5">
        <v>715060000000000</v>
      </c>
      <c r="CU68" s="5">
        <v>11727000000000</v>
      </c>
      <c r="CV68" s="5">
        <v>507960000000000</v>
      </c>
      <c r="CW68" s="5">
        <v>9092400000000</v>
      </c>
      <c r="CX68" s="5">
        <v>357630000000000</v>
      </c>
      <c r="CY68" s="5">
        <v>6473200000000</v>
      </c>
      <c r="CZ68" s="5">
        <v>241050000000000</v>
      </c>
      <c r="DA68" s="5">
        <v>4821000000000</v>
      </c>
      <c r="DB68" s="5">
        <v>162190000000000</v>
      </c>
      <c r="DC68" s="5">
        <v>3568200000000</v>
      </c>
      <c r="DD68" s="5">
        <v>112480000000000</v>
      </c>
      <c r="DE68" s="5">
        <v>2553200000000</v>
      </c>
      <c r="DF68" s="5">
        <v>82029000000000</v>
      </c>
      <c r="DG68" s="5">
        <v>1960500000000</v>
      </c>
      <c r="DH68" s="5">
        <v>59333000000000</v>
      </c>
      <c r="DI68" s="5">
        <v>1542700000000</v>
      </c>
      <c r="DJ68" s="5">
        <v>41479000000000</v>
      </c>
      <c r="DK68" s="5">
        <v>1103300000000</v>
      </c>
      <c r="DL68" s="5">
        <v>29525000000000</v>
      </c>
      <c r="DM68" s="5">
        <v>832600000000</v>
      </c>
      <c r="DN68" s="5">
        <v>19898000000000</v>
      </c>
      <c r="DO68" s="5">
        <v>565100000000</v>
      </c>
      <c r="DP68" s="5">
        <v>15248000000000</v>
      </c>
      <c r="DQ68" s="5">
        <v>483360000000</v>
      </c>
      <c r="DR68" s="5">
        <v>11747000000000</v>
      </c>
      <c r="DS68" s="5">
        <v>348900000000</v>
      </c>
      <c r="DT68" s="5">
        <v>8818100000000</v>
      </c>
      <c r="DU68" s="5">
        <v>275130000000</v>
      </c>
      <c r="DV68" s="5">
        <v>6450400000000</v>
      </c>
      <c r="DW68" s="5">
        <v>224480000000</v>
      </c>
      <c r="DX68" s="5">
        <v>4509400000000</v>
      </c>
      <c r="DY68" s="5">
        <v>137540000000</v>
      </c>
      <c r="DZ68" s="5">
        <v>3432100000000</v>
      </c>
      <c r="EA68" s="5">
        <v>119090000000</v>
      </c>
      <c r="EB68" s="5">
        <v>2523300000000</v>
      </c>
      <c r="EC68" s="5">
        <v>80243000000</v>
      </c>
      <c r="ED68" s="5">
        <v>1895600000000</v>
      </c>
      <c r="EE68" s="5">
        <v>64071000000</v>
      </c>
      <c r="EF68" s="5">
        <v>1227500000000</v>
      </c>
      <c r="EG68" s="5">
        <v>42471000000</v>
      </c>
      <c r="EH68" s="5">
        <v>894370000000</v>
      </c>
      <c r="EI68" s="5">
        <v>32287000000</v>
      </c>
      <c r="EJ68" s="5">
        <v>688480000000</v>
      </c>
      <c r="EK68" s="5">
        <v>25887000000</v>
      </c>
      <c r="EL68" s="5">
        <v>407450000000</v>
      </c>
      <c r="EM68" s="5">
        <v>15524000000</v>
      </c>
      <c r="EN68" s="5">
        <v>277820000000</v>
      </c>
      <c r="EO68" s="5">
        <v>11974000000</v>
      </c>
      <c r="EP68" s="5">
        <v>8478400</v>
      </c>
      <c r="EQ68" s="5">
        <v>257740</v>
      </c>
    </row>
    <row r="69" spans="1:147">
      <c r="A69" s="5"/>
      <c r="B69" s="5"/>
      <c r="C69" s="5"/>
      <c r="D69" s="5"/>
      <c r="E69" s="5">
        <v>0</v>
      </c>
      <c r="F69" s="5">
        <v>0</v>
      </c>
      <c r="G69" s="5">
        <v>0</v>
      </c>
      <c r="H69" s="5">
        <v>0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Z69" s="5">
        <v>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6402000000000</v>
      </c>
      <c r="AI69" s="5">
        <v>6402000000000</v>
      </c>
      <c r="AJ69" s="5">
        <v>6114300000000</v>
      </c>
      <c r="AK69" s="5">
        <v>4323400000000</v>
      </c>
      <c r="AL69" s="5">
        <v>4856200000000</v>
      </c>
      <c r="AM69" s="5">
        <v>3433800000000</v>
      </c>
      <c r="AN69" s="5">
        <v>5855900000000</v>
      </c>
      <c r="AO69" s="5">
        <v>3381200000000</v>
      </c>
      <c r="AP69" s="5">
        <v>10990000000000</v>
      </c>
      <c r="AQ69" s="5">
        <v>4776100000000</v>
      </c>
      <c r="AR69" s="5">
        <v>75230000000000</v>
      </c>
      <c r="AS69" s="5">
        <v>61982000000000</v>
      </c>
      <c r="AT69" s="5">
        <v>63774000000000</v>
      </c>
      <c r="AU69" s="5">
        <v>35598000000000</v>
      </c>
      <c r="AV69" s="5">
        <v>27793000000000</v>
      </c>
      <c r="AW69" s="5">
        <v>7790500000000</v>
      </c>
      <c r="AX69" s="5">
        <v>146670000000000</v>
      </c>
      <c r="AY69" s="5">
        <v>62483000000000</v>
      </c>
      <c r="AZ69" s="5">
        <v>57749000000000</v>
      </c>
      <c r="BA69" s="5">
        <v>15800000000000</v>
      </c>
      <c r="BB69" s="5">
        <v>97579000000000</v>
      </c>
      <c r="BC69" s="5">
        <v>41569000000000</v>
      </c>
      <c r="BD69" s="5">
        <v>218080000000000</v>
      </c>
      <c r="BE69" s="5">
        <v>61629000000000</v>
      </c>
      <c r="BF69" s="5">
        <v>211520000000000</v>
      </c>
      <c r="BG69" s="5">
        <v>41351000000000</v>
      </c>
      <c r="BH69" s="5">
        <v>387450000000000</v>
      </c>
      <c r="BI69" s="5">
        <v>70749000000000</v>
      </c>
      <c r="BJ69" s="5">
        <v>751560000000000</v>
      </c>
      <c r="BK69" s="5">
        <v>157380000000000</v>
      </c>
      <c r="BL69" s="5">
        <v>697220000000000</v>
      </c>
      <c r="BM69" s="5">
        <v>86246000000000</v>
      </c>
      <c r="BN69" s="5">
        <v>849040000000000</v>
      </c>
      <c r="BO69" s="5">
        <v>80574000000000</v>
      </c>
      <c r="BP69" s="5">
        <v>1101500000000000</v>
      </c>
      <c r="BQ69" s="5">
        <v>94843000000000</v>
      </c>
      <c r="BR69" s="5">
        <v>1196600000000000</v>
      </c>
      <c r="BS69" s="5">
        <v>87230000000000</v>
      </c>
      <c r="BT69" s="5">
        <v>1554000000000000</v>
      </c>
      <c r="BU69" s="5">
        <v>131310000000000</v>
      </c>
      <c r="BV69" s="5">
        <v>1836700000000000</v>
      </c>
      <c r="BW69" s="5">
        <v>101940000000000</v>
      </c>
      <c r="BX69" s="5">
        <v>1877200000000000</v>
      </c>
      <c r="BY69" s="5">
        <v>89540000000000</v>
      </c>
      <c r="BZ69" s="5">
        <v>2123900000000000</v>
      </c>
      <c r="CA69" s="5">
        <v>87079000000000</v>
      </c>
      <c r="CB69" s="5">
        <v>2247500000000000</v>
      </c>
      <c r="CC69" s="5">
        <v>90574000000000</v>
      </c>
      <c r="CD69" s="5">
        <v>2236600000000000</v>
      </c>
      <c r="CE69" s="5">
        <v>57703000000000</v>
      </c>
      <c r="CF69" s="5">
        <v>2470600000000000</v>
      </c>
      <c r="CG69" s="5">
        <v>56083000000000</v>
      </c>
      <c r="CH69" s="5">
        <v>2158400000000000</v>
      </c>
      <c r="CI69" s="5">
        <v>42737000000000</v>
      </c>
      <c r="CJ69" s="5">
        <v>1958800000000000</v>
      </c>
      <c r="CK69" s="5">
        <v>36825000000000</v>
      </c>
      <c r="CL69" s="5">
        <v>1677500000000000</v>
      </c>
      <c r="CM69" s="5">
        <v>30027000000000</v>
      </c>
      <c r="CN69" s="5">
        <v>1391300000000000</v>
      </c>
      <c r="CO69" s="5">
        <v>23235000000000</v>
      </c>
      <c r="CP69" s="5">
        <v>1048800000000000</v>
      </c>
      <c r="CQ69" s="5">
        <v>17095000000000</v>
      </c>
      <c r="CR69" s="5">
        <v>800750000000000</v>
      </c>
      <c r="CS69" s="5">
        <v>13693000000000</v>
      </c>
      <c r="CT69" s="5">
        <v>548560000000000</v>
      </c>
      <c r="CU69" s="5">
        <v>9819200000000</v>
      </c>
      <c r="CV69" s="5">
        <v>377960000000000</v>
      </c>
      <c r="CW69" s="5">
        <v>6992300000000</v>
      </c>
      <c r="CX69" s="5">
        <v>262200000000000</v>
      </c>
      <c r="CY69" s="5">
        <v>5584900000000</v>
      </c>
      <c r="CZ69" s="5">
        <v>173760000000000</v>
      </c>
      <c r="DA69" s="5">
        <v>4343900000000</v>
      </c>
      <c r="DB69" s="5">
        <v>124690000000000</v>
      </c>
      <c r="DC69" s="5">
        <v>2930100000000</v>
      </c>
      <c r="DD69" s="5">
        <v>87658000000000</v>
      </c>
      <c r="DE69" s="5">
        <v>2173900000000</v>
      </c>
      <c r="DF69" s="5">
        <v>63339000000000</v>
      </c>
      <c r="DG69" s="5">
        <v>1621500000000</v>
      </c>
      <c r="DH69" s="5">
        <v>45332000000000</v>
      </c>
      <c r="DI69" s="5">
        <v>1255700000000</v>
      </c>
      <c r="DJ69" s="5">
        <v>31584000000000</v>
      </c>
      <c r="DK69" s="5">
        <v>919090000000</v>
      </c>
      <c r="DL69" s="5">
        <v>23499000000000</v>
      </c>
      <c r="DM69" s="5">
        <v>704980000000</v>
      </c>
      <c r="DN69" s="5">
        <v>16544000000000</v>
      </c>
      <c r="DO69" s="5">
        <v>497970000000</v>
      </c>
      <c r="DP69" s="5">
        <v>12312000000000</v>
      </c>
      <c r="DQ69" s="5">
        <v>396440000000</v>
      </c>
      <c r="DR69" s="5">
        <v>8478600000000</v>
      </c>
      <c r="DS69" s="5">
        <v>280640000000</v>
      </c>
      <c r="DT69" s="5">
        <v>6775400000000</v>
      </c>
      <c r="DU69" s="5">
        <v>207330000000</v>
      </c>
      <c r="DV69" s="5">
        <v>4840900000000</v>
      </c>
      <c r="DW69" s="5">
        <v>156850000000</v>
      </c>
      <c r="DX69" s="5">
        <v>3682000000000</v>
      </c>
      <c r="DY69" s="5">
        <v>136600000000</v>
      </c>
      <c r="DZ69" s="5">
        <v>2664000000000</v>
      </c>
      <c r="EA69" s="5">
        <v>107360000000</v>
      </c>
      <c r="EB69" s="5">
        <v>1887500000000</v>
      </c>
      <c r="EC69" s="5">
        <v>65875000000</v>
      </c>
      <c r="ED69" s="5">
        <v>1423800000000</v>
      </c>
      <c r="EE69" s="5">
        <v>48836000000</v>
      </c>
      <c r="EF69" s="5">
        <v>974700000000</v>
      </c>
      <c r="EG69" s="5">
        <v>37136000000</v>
      </c>
      <c r="EH69" s="5">
        <v>717780000000</v>
      </c>
      <c r="EI69" s="5">
        <v>34094000000</v>
      </c>
      <c r="EJ69" s="5">
        <v>450590000000</v>
      </c>
      <c r="EK69" s="5">
        <v>17844000000</v>
      </c>
      <c r="EL69" s="5">
        <v>334500000000</v>
      </c>
      <c r="EM69" s="5">
        <v>16223000000</v>
      </c>
      <c r="EN69" s="5">
        <v>183410000000</v>
      </c>
      <c r="EO69" s="5">
        <v>8748600000</v>
      </c>
      <c r="EP69" s="5">
        <v>4325700</v>
      </c>
      <c r="EQ69" s="5">
        <v>152700</v>
      </c>
    </row>
    <row r="70" spans="1:147">
      <c r="A70" s="5"/>
      <c r="B70" s="5"/>
      <c r="C70" s="5"/>
      <c r="D70" s="5"/>
      <c r="E70" s="5">
        <v>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79222000000000</v>
      </c>
      <c r="S70" s="5">
        <v>79222000000000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Z70" s="5">
        <v>0</v>
      </c>
      <c r="AA70" s="5">
        <v>0</v>
      </c>
      <c r="AB70" s="5">
        <v>0</v>
      </c>
      <c r="AC70" s="5">
        <v>0</v>
      </c>
      <c r="AD70" s="5">
        <v>5445000000000</v>
      </c>
      <c r="AE70" s="5">
        <v>5445000000000</v>
      </c>
      <c r="AF70" s="5">
        <v>0</v>
      </c>
      <c r="AG70" s="5">
        <v>0</v>
      </c>
      <c r="AH70" s="5">
        <v>3431400000000</v>
      </c>
      <c r="AI70" s="5">
        <v>3431400000000</v>
      </c>
      <c r="AJ70" s="5">
        <v>73311000000000</v>
      </c>
      <c r="AK70" s="5">
        <v>64089000000000</v>
      </c>
      <c r="AL70" s="5">
        <v>11917000000000</v>
      </c>
      <c r="AM70" s="5">
        <v>9990300000000</v>
      </c>
      <c r="AN70" s="5">
        <v>41359000000000</v>
      </c>
      <c r="AO70" s="5">
        <v>25899000000000</v>
      </c>
      <c r="AP70" s="5">
        <v>200340000000000</v>
      </c>
      <c r="AQ70" s="5">
        <v>135450000000000</v>
      </c>
      <c r="AR70" s="5">
        <v>94391000000000</v>
      </c>
      <c r="AS70" s="5">
        <v>61731000000000</v>
      </c>
      <c r="AT70" s="5">
        <v>48035000000000</v>
      </c>
      <c r="AU70" s="5">
        <v>13695000000000</v>
      </c>
      <c r="AV70" s="5">
        <v>94005000000000</v>
      </c>
      <c r="AW70" s="5">
        <v>26932000000000</v>
      </c>
      <c r="AX70" s="5">
        <v>201490000000000</v>
      </c>
      <c r="AY70" s="5">
        <v>84485000000000</v>
      </c>
      <c r="AZ70" s="5">
        <v>257690000000000</v>
      </c>
      <c r="BA70" s="5">
        <v>74989000000000</v>
      </c>
      <c r="BB70" s="5">
        <v>262370000000000</v>
      </c>
      <c r="BC70" s="5">
        <v>75931000000000</v>
      </c>
      <c r="BD70" s="5">
        <v>379770000000000</v>
      </c>
      <c r="BE70" s="5">
        <v>75005000000000</v>
      </c>
      <c r="BF70" s="5">
        <v>428880000000000</v>
      </c>
      <c r="BG70" s="5">
        <v>82173000000000</v>
      </c>
      <c r="BH70" s="5">
        <v>755700000000000</v>
      </c>
      <c r="BI70" s="5">
        <v>108220000000000</v>
      </c>
      <c r="BJ70" s="5">
        <v>796290000000000</v>
      </c>
      <c r="BK70" s="5">
        <v>127800000000000</v>
      </c>
      <c r="BL70" s="5">
        <v>1210000000000000</v>
      </c>
      <c r="BM70" s="5">
        <v>130920000000000</v>
      </c>
      <c r="BN70" s="5">
        <v>1225400000000000</v>
      </c>
      <c r="BO70" s="5">
        <v>101950000000000</v>
      </c>
      <c r="BP70" s="5">
        <v>1680900000000000</v>
      </c>
      <c r="BQ70" s="5">
        <v>133800000000000</v>
      </c>
      <c r="BR70" s="5">
        <v>1849900000000000</v>
      </c>
      <c r="BS70" s="5">
        <v>128380000000000</v>
      </c>
      <c r="BT70" s="5">
        <v>2241000000000000</v>
      </c>
      <c r="BU70" s="5">
        <v>125720000000000</v>
      </c>
      <c r="BV70" s="5">
        <v>2220300000000000</v>
      </c>
      <c r="BW70" s="5">
        <v>107910000000000</v>
      </c>
      <c r="BX70" s="5">
        <v>2445000000000000</v>
      </c>
      <c r="BY70" s="5">
        <v>100000000000000</v>
      </c>
      <c r="BZ70" s="5">
        <v>2660700000000000</v>
      </c>
      <c r="CA70" s="5">
        <v>100580000000000</v>
      </c>
      <c r="CB70" s="5">
        <v>2570900000000000</v>
      </c>
      <c r="CC70" s="5">
        <v>92297000000000</v>
      </c>
      <c r="CD70" s="5">
        <v>2556300000000000</v>
      </c>
      <c r="CE70" s="5">
        <v>60839000000000</v>
      </c>
      <c r="CF70" s="5">
        <v>2313900000000000</v>
      </c>
      <c r="CG70" s="5">
        <v>47435000000000</v>
      </c>
      <c r="CH70" s="5">
        <v>2200400000000000</v>
      </c>
      <c r="CI70" s="5">
        <v>40267000000000</v>
      </c>
      <c r="CJ70" s="5">
        <v>1866600000000000</v>
      </c>
      <c r="CK70" s="5">
        <v>33040000000000</v>
      </c>
      <c r="CL70" s="5">
        <v>1567400000000000</v>
      </c>
      <c r="CM70" s="5">
        <v>26803000000000</v>
      </c>
      <c r="CN70" s="5">
        <v>1176500000000000</v>
      </c>
      <c r="CO70" s="5">
        <v>19766000000000</v>
      </c>
      <c r="CP70" s="5">
        <v>874000000000000</v>
      </c>
      <c r="CQ70" s="5">
        <v>15382000000000</v>
      </c>
      <c r="CR70" s="5">
        <v>593180000000000</v>
      </c>
      <c r="CS70" s="5">
        <v>10559000000000</v>
      </c>
      <c r="CT70" s="5">
        <v>396960000000000</v>
      </c>
      <c r="CU70" s="5">
        <v>7939200000000</v>
      </c>
      <c r="CV70" s="5">
        <v>284580000000000</v>
      </c>
      <c r="CW70" s="5">
        <v>6033100000000</v>
      </c>
      <c r="CX70" s="5">
        <v>190620000000000</v>
      </c>
      <c r="CY70" s="5">
        <v>4231800000000</v>
      </c>
      <c r="CZ70" s="5">
        <v>131830000000000</v>
      </c>
      <c r="DA70" s="5">
        <v>3097900000000</v>
      </c>
      <c r="DB70" s="5">
        <v>92058000000000</v>
      </c>
      <c r="DC70" s="5">
        <v>2227800000000</v>
      </c>
      <c r="DD70" s="5">
        <v>63833000000000</v>
      </c>
      <c r="DE70" s="5">
        <v>1672400000000</v>
      </c>
      <c r="DF70" s="5">
        <v>47813000000000</v>
      </c>
      <c r="DG70" s="5">
        <v>1252700000000</v>
      </c>
      <c r="DH70" s="5">
        <v>34849000000000</v>
      </c>
      <c r="DI70" s="5">
        <v>1003700000000</v>
      </c>
      <c r="DJ70" s="5">
        <v>24055000000000</v>
      </c>
      <c r="DK70" s="5">
        <v>772180000000</v>
      </c>
      <c r="DL70" s="5">
        <v>16543000000000</v>
      </c>
      <c r="DM70" s="5">
        <v>491320000000</v>
      </c>
      <c r="DN70" s="5">
        <v>12584000000000</v>
      </c>
      <c r="DO70" s="5">
        <v>420300000000</v>
      </c>
      <c r="DP70" s="5">
        <v>9801100000000</v>
      </c>
      <c r="DQ70" s="5">
        <v>306780000000</v>
      </c>
      <c r="DR70" s="5">
        <v>6869700000000</v>
      </c>
      <c r="DS70" s="5">
        <v>217770000000</v>
      </c>
      <c r="DT70" s="5">
        <v>5278800000000</v>
      </c>
      <c r="DU70" s="5">
        <v>168400000000</v>
      </c>
      <c r="DV70" s="5">
        <v>3746000000000</v>
      </c>
      <c r="DW70" s="5">
        <v>127360000000</v>
      </c>
      <c r="DX70" s="5">
        <v>2737400000000</v>
      </c>
      <c r="DY70" s="5">
        <v>92797000000</v>
      </c>
      <c r="DZ70" s="5">
        <v>2028400000000</v>
      </c>
      <c r="EA70" s="5">
        <v>72414000000</v>
      </c>
      <c r="EB70" s="5">
        <v>1479000000000</v>
      </c>
      <c r="EC70" s="5">
        <v>51912000000</v>
      </c>
      <c r="ED70" s="5">
        <v>1039900000000</v>
      </c>
      <c r="EE70" s="5">
        <v>40555000000</v>
      </c>
      <c r="EF70" s="5">
        <v>690960000000</v>
      </c>
      <c r="EG70" s="5">
        <v>32613000000</v>
      </c>
      <c r="EH70" s="5">
        <v>511220000000</v>
      </c>
      <c r="EI70" s="5">
        <v>26277000000</v>
      </c>
      <c r="EJ70" s="5">
        <v>333730000000</v>
      </c>
      <c r="EK70" s="5">
        <v>15385000000</v>
      </c>
      <c r="EL70" s="5">
        <v>223300000000</v>
      </c>
      <c r="EM70" s="5">
        <v>13041000000</v>
      </c>
      <c r="EN70" s="5">
        <v>122360000000</v>
      </c>
      <c r="EO70" s="5">
        <v>6864500000</v>
      </c>
      <c r="EP70" s="5">
        <v>2302900</v>
      </c>
      <c r="EQ70" s="5">
        <v>101330</v>
      </c>
    </row>
    <row r="71" spans="1:147">
      <c r="A71" s="5"/>
      <c r="B71" s="5"/>
      <c r="C71" s="5"/>
      <c r="D71" s="5"/>
      <c r="E71" s="5">
        <v>0</v>
      </c>
      <c r="F71" s="5">
        <v>0</v>
      </c>
      <c r="G71" s="5">
        <v>0</v>
      </c>
      <c r="H71" s="5">
        <v>0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 s="5">
        <v>0</v>
      </c>
      <c r="O71" s="5">
        <v>0</v>
      </c>
      <c r="P71" s="5">
        <v>194540000000000</v>
      </c>
      <c r="Q71" s="5">
        <v>194540000000000</v>
      </c>
      <c r="R71" s="5">
        <v>1604200000000000</v>
      </c>
      <c r="S71" s="5">
        <v>1604200000000000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Z71" s="5">
        <v>0</v>
      </c>
      <c r="AA71" s="5">
        <v>0</v>
      </c>
      <c r="AB71" s="5">
        <v>0</v>
      </c>
      <c r="AC71" s="5">
        <v>0</v>
      </c>
      <c r="AD71" s="5">
        <v>4844500000000</v>
      </c>
      <c r="AE71" s="5">
        <v>4844500000000</v>
      </c>
      <c r="AF71" s="5">
        <v>3858200000000</v>
      </c>
      <c r="AG71" s="5">
        <v>3858200000000</v>
      </c>
      <c r="AH71" s="5">
        <v>283260000000000</v>
      </c>
      <c r="AI71" s="5">
        <v>195450000000000</v>
      </c>
      <c r="AJ71" s="5">
        <v>7704300000000</v>
      </c>
      <c r="AK71" s="5">
        <v>5807500000000</v>
      </c>
      <c r="AL71" s="5">
        <v>25628000000000</v>
      </c>
      <c r="AM71" s="5">
        <v>16750000000000</v>
      </c>
      <c r="AN71" s="5">
        <v>23647000000000</v>
      </c>
      <c r="AO71" s="5">
        <v>9645400000000</v>
      </c>
      <c r="AP71" s="5">
        <v>19052000000000</v>
      </c>
      <c r="AQ71" s="5">
        <v>8727600000000</v>
      </c>
      <c r="AR71" s="5">
        <v>237400000000000</v>
      </c>
      <c r="AS71" s="5">
        <v>96100000000000</v>
      </c>
      <c r="AT71" s="5">
        <v>123150000000000</v>
      </c>
      <c r="AU71" s="5">
        <v>51676000000000</v>
      </c>
      <c r="AV71" s="5">
        <v>319480000000000</v>
      </c>
      <c r="AW71" s="5">
        <v>103610000000000</v>
      </c>
      <c r="AX71" s="5">
        <v>274090000000000</v>
      </c>
      <c r="AY71" s="5">
        <v>74580000000000</v>
      </c>
      <c r="AZ71" s="5">
        <v>323080000000000</v>
      </c>
      <c r="BA71" s="5">
        <v>72726000000000</v>
      </c>
      <c r="BB71" s="5">
        <v>499940000000000</v>
      </c>
      <c r="BC71" s="5">
        <v>99388000000000</v>
      </c>
      <c r="BD71" s="5">
        <v>460520000000000</v>
      </c>
      <c r="BE71" s="5">
        <v>83216000000000</v>
      </c>
      <c r="BF71" s="5">
        <v>665570000000000</v>
      </c>
      <c r="BG71" s="5">
        <v>104030000000000</v>
      </c>
      <c r="BH71" s="5">
        <v>892050000000000</v>
      </c>
      <c r="BI71" s="5">
        <v>102680000000000</v>
      </c>
      <c r="BJ71" s="5">
        <v>1146500000000000</v>
      </c>
      <c r="BK71" s="5">
        <v>129320000000000</v>
      </c>
      <c r="BL71" s="5">
        <v>1323600000000000</v>
      </c>
      <c r="BM71" s="5">
        <v>115150000000000</v>
      </c>
      <c r="BN71" s="5">
        <v>1554200000000000</v>
      </c>
      <c r="BO71" s="5">
        <v>111750000000000</v>
      </c>
      <c r="BP71" s="5">
        <v>2156100000000000</v>
      </c>
      <c r="BQ71" s="5">
        <v>139930000000000</v>
      </c>
      <c r="BR71" s="5">
        <v>2583200000000000</v>
      </c>
      <c r="BS71" s="5">
        <v>142080000000000</v>
      </c>
      <c r="BT71" s="5">
        <v>2618900000000000</v>
      </c>
      <c r="BU71" s="5">
        <v>122300000000000</v>
      </c>
      <c r="BV71" s="5">
        <v>2632900000000000</v>
      </c>
      <c r="BW71" s="5">
        <v>111110000000000</v>
      </c>
      <c r="BX71" s="5">
        <v>2963300000000000</v>
      </c>
      <c r="BY71" s="5">
        <v>124460000000000</v>
      </c>
      <c r="BZ71" s="5">
        <v>2745700000000000</v>
      </c>
      <c r="CA71" s="5">
        <v>86488000000000</v>
      </c>
      <c r="CB71" s="5">
        <v>2816700000000000</v>
      </c>
      <c r="CC71" s="5">
        <v>106470000000000</v>
      </c>
      <c r="CD71" s="5">
        <v>2631800000000000</v>
      </c>
      <c r="CE71" s="5">
        <v>91324000000000</v>
      </c>
      <c r="CF71" s="5">
        <v>2430100000000000</v>
      </c>
      <c r="CG71" s="5">
        <v>45928000000000</v>
      </c>
      <c r="CH71" s="5">
        <v>2066900000000000</v>
      </c>
      <c r="CI71" s="5">
        <v>35964000000000</v>
      </c>
      <c r="CJ71" s="5">
        <v>1668500000000000</v>
      </c>
      <c r="CK71" s="5">
        <v>28365000000000</v>
      </c>
      <c r="CL71" s="5">
        <v>1313700000000000</v>
      </c>
      <c r="CM71" s="5">
        <v>22465000000000</v>
      </c>
      <c r="CN71" s="5">
        <v>953170000000000</v>
      </c>
      <c r="CO71" s="5">
        <v>16490000000000</v>
      </c>
      <c r="CP71" s="5">
        <v>651210000000000</v>
      </c>
      <c r="CQ71" s="5">
        <v>12373000000000</v>
      </c>
      <c r="CR71" s="5">
        <v>454120000000000</v>
      </c>
      <c r="CS71" s="5">
        <v>9218600000000</v>
      </c>
      <c r="CT71" s="5">
        <v>291540000000000</v>
      </c>
      <c r="CU71" s="5">
        <v>6384700000000</v>
      </c>
      <c r="CV71" s="5">
        <v>189540000000000</v>
      </c>
      <c r="CW71" s="5">
        <v>4397300000000</v>
      </c>
      <c r="CX71" s="5">
        <v>142190000000000</v>
      </c>
      <c r="CY71" s="5">
        <v>3298900000000</v>
      </c>
      <c r="CZ71" s="5">
        <v>100750000000000</v>
      </c>
      <c r="DA71" s="5">
        <v>2659900000000</v>
      </c>
      <c r="DB71" s="5">
        <v>65765000000000</v>
      </c>
      <c r="DC71" s="5">
        <v>1749300000000</v>
      </c>
      <c r="DD71" s="5">
        <v>49045000000000</v>
      </c>
      <c r="DE71" s="5">
        <v>1373300000000</v>
      </c>
      <c r="DF71" s="5">
        <v>36118000000000</v>
      </c>
      <c r="DG71" s="5">
        <v>1033000000000</v>
      </c>
      <c r="DH71" s="5">
        <v>24821000000000</v>
      </c>
      <c r="DI71" s="5">
        <v>757030000000</v>
      </c>
      <c r="DJ71" s="5">
        <v>18184000000000</v>
      </c>
      <c r="DK71" s="5">
        <v>567330000000</v>
      </c>
      <c r="DL71" s="5">
        <v>12939000000000</v>
      </c>
      <c r="DM71" s="5">
        <v>424400000000</v>
      </c>
      <c r="DN71" s="5">
        <v>10090000000000</v>
      </c>
      <c r="DO71" s="5">
        <v>337020000000</v>
      </c>
      <c r="DP71" s="5">
        <v>7265100000000</v>
      </c>
      <c r="DQ71" s="5">
        <v>234660000000</v>
      </c>
      <c r="DR71" s="5">
        <v>5473400000000</v>
      </c>
      <c r="DS71" s="5">
        <v>189930000000</v>
      </c>
      <c r="DT71" s="5">
        <v>4006600000000</v>
      </c>
      <c r="DU71" s="5">
        <v>140230000000</v>
      </c>
      <c r="DV71" s="5">
        <v>2845400000000</v>
      </c>
      <c r="DW71" s="5">
        <v>96175000000</v>
      </c>
      <c r="DX71" s="5">
        <v>2135000000000</v>
      </c>
      <c r="DY71" s="5">
        <v>76432000000</v>
      </c>
      <c r="DZ71" s="5">
        <v>1586600000000</v>
      </c>
      <c r="EA71" s="5">
        <v>59497000000</v>
      </c>
      <c r="EB71" s="5">
        <v>1077400000000</v>
      </c>
      <c r="EC71" s="5">
        <v>45789000000</v>
      </c>
      <c r="ED71" s="5">
        <v>790070000000</v>
      </c>
      <c r="EE71" s="5">
        <v>31129000000</v>
      </c>
      <c r="EF71" s="5">
        <v>480860000000</v>
      </c>
      <c r="EG71" s="5">
        <v>21350000000</v>
      </c>
      <c r="EH71" s="5">
        <v>293480000000</v>
      </c>
      <c r="EI71" s="5">
        <v>14293000000</v>
      </c>
      <c r="EJ71" s="5">
        <v>204890000000</v>
      </c>
      <c r="EK71" s="5">
        <v>10859000000</v>
      </c>
      <c r="EL71" s="5">
        <v>111360000000</v>
      </c>
      <c r="EM71" s="5">
        <v>6035600000</v>
      </c>
      <c r="EN71" s="5">
        <v>66948000000</v>
      </c>
      <c r="EO71" s="5">
        <v>4519000000</v>
      </c>
      <c r="EP71" s="5">
        <v>1139000</v>
      </c>
      <c r="EQ71" s="5">
        <v>83487</v>
      </c>
    </row>
    <row r="72" spans="1:147">
      <c r="A72" s="5"/>
      <c r="B72" s="5"/>
      <c r="C72" s="5"/>
      <c r="D72" s="5"/>
      <c r="E72" s="5">
        <v>0</v>
      </c>
      <c r="F72" s="5">
        <v>0</v>
      </c>
      <c r="G72" s="5">
        <v>0</v>
      </c>
      <c r="H72" s="5">
        <v>0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Z72" s="5">
        <v>6841900000000</v>
      </c>
      <c r="AA72" s="5">
        <v>6841900000000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65101000000000</v>
      </c>
      <c r="AI72" s="5">
        <v>53871000000000</v>
      </c>
      <c r="AJ72" s="5">
        <v>17580000000000</v>
      </c>
      <c r="AK72" s="5">
        <v>10496000000000</v>
      </c>
      <c r="AL72" s="5">
        <v>19747000000000</v>
      </c>
      <c r="AM72" s="5">
        <v>6795000000000</v>
      </c>
      <c r="AN72" s="5">
        <v>125250000000000</v>
      </c>
      <c r="AO72" s="5">
        <v>87949000000000</v>
      </c>
      <c r="AP72" s="5">
        <v>316360000000000</v>
      </c>
      <c r="AQ72" s="5">
        <v>121010000000000</v>
      </c>
      <c r="AR72" s="5">
        <v>69055000000000</v>
      </c>
      <c r="AS72" s="5">
        <v>20647000000000</v>
      </c>
      <c r="AT72" s="5">
        <v>125660000000000</v>
      </c>
      <c r="AU72" s="5">
        <v>37999000000000</v>
      </c>
      <c r="AV72" s="5">
        <v>335340000000000</v>
      </c>
      <c r="AW72" s="5">
        <v>89938000000000</v>
      </c>
      <c r="AX72" s="5">
        <v>267770000000000</v>
      </c>
      <c r="AY72" s="5">
        <v>61694000000000</v>
      </c>
      <c r="AZ72" s="5">
        <v>553830000000000</v>
      </c>
      <c r="BA72" s="5">
        <v>101630000000000</v>
      </c>
      <c r="BB72" s="5">
        <v>677800000000000</v>
      </c>
      <c r="BC72" s="5">
        <v>108990000000000</v>
      </c>
      <c r="BD72" s="5">
        <v>845950000000000</v>
      </c>
      <c r="BE72" s="5">
        <v>119450000000000</v>
      </c>
      <c r="BF72" s="5">
        <v>1039900000000000</v>
      </c>
      <c r="BG72" s="5">
        <v>120520000000000</v>
      </c>
      <c r="BH72" s="5">
        <v>1118500000000000</v>
      </c>
      <c r="BI72" s="5">
        <v>106370000000000</v>
      </c>
      <c r="BJ72" s="5">
        <v>1593400000000000</v>
      </c>
      <c r="BK72" s="5">
        <v>127790000000000</v>
      </c>
      <c r="BL72" s="5">
        <v>2101200000000000</v>
      </c>
      <c r="BM72" s="5">
        <v>149610000000000</v>
      </c>
      <c r="BN72" s="5">
        <v>2001400000000000</v>
      </c>
      <c r="BO72" s="5">
        <v>126090000000000</v>
      </c>
      <c r="BP72" s="5">
        <v>2487400000000000</v>
      </c>
      <c r="BQ72" s="5">
        <v>130090000000000</v>
      </c>
      <c r="BR72" s="5">
        <v>3003600000000000</v>
      </c>
      <c r="BS72" s="5">
        <v>131860000000000</v>
      </c>
      <c r="BT72" s="5">
        <v>3038900000000000</v>
      </c>
      <c r="BU72" s="5">
        <v>134930000000000</v>
      </c>
      <c r="BV72" s="5">
        <v>3061200000000000</v>
      </c>
      <c r="BW72" s="5">
        <v>113270000000000</v>
      </c>
      <c r="BX72" s="5">
        <v>2969700000000000</v>
      </c>
      <c r="BY72" s="5">
        <v>106910000000000</v>
      </c>
      <c r="BZ72" s="5">
        <v>3005400000000000</v>
      </c>
      <c r="CA72" s="5">
        <v>98876000000000</v>
      </c>
      <c r="CB72" s="5">
        <v>2637600000000000</v>
      </c>
      <c r="CC72" s="5">
        <v>68314000000000</v>
      </c>
      <c r="CD72" s="5">
        <v>2567400000000000</v>
      </c>
      <c r="CE72" s="5">
        <v>53145000000000</v>
      </c>
      <c r="CF72" s="5">
        <v>2296200000000000</v>
      </c>
      <c r="CG72" s="5">
        <v>42480000000000</v>
      </c>
      <c r="CH72" s="5">
        <v>1839300000000000</v>
      </c>
      <c r="CI72" s="5">
        <v>31636000000000</v>
      </c>
      <c r="CJ72" s="5">
        <v>1446600000000000</v>
      </c>
      <c r="CK72" s="5">
        <v>24592000000000</v>
      </c>
      <c r="CL72" s="5">
        <v>1045000000000000</v>
      </c>
      <c r="CM72" s="5">
        <v>18915000000000</v>
      </c>
      <c r="CN72" s="5">
        <v>732690000000000</v>
      </c>
      <c r="CO72" s="5">
        <v>13921000000000</v>
      </c>
      <c r="CP72" s="5">
        <v>474140000000000</v>
      </c>
      <c r="CQ72" s="5">
        <v>9435300000000</v>
      </c>
      <c r="CR72" s="5">
        <v>305610000000000</v>
      </c>
      <c r="CS72" s="5">
        <v>6906800000000</v>
      </c>
      <c r="CT72" s="5">
        <v>207590000000000</v>
      </c>
      <c r="CU72" s="5">
        <v>5729500000000</v>
      </c>
      <c r="CV72" s="5">
        <v>143890000000000</v>
      </c>
      <c r="CW72" s="5">
        <v>3712400000000</v>
      </c>
      <c r="CX72" s="5">
        <v>105730000000000</v>
      </c>
      <c r="CY72" s="5">
        <v>2685600000000</v>
      </c>
      <c r="CZ72" s="5">
        <v>73956000000000</v>
      </c>
      <c r="DA72" s="5">
        <v>2033800000000</v>
      </c>
      <c r="DB72" s="5">
        <v>51331000000000</v>
      </c>
      <c r="DC72" s="5">
        <v>1560500000000</v>
      </c>
      <c r="DD72" s="5">
        <v>37264000000000</v>
      </c>
      <c r="DE72" s="5">
        <v>1069500000000</v>
      </c>
      <c r="DF72" s="5">
        <v>29405000000000</v>
      </c>
      <c r="DG72" s="5">
        <v>911540000000</v>
      </c>
      <c r="DH72" s="5">
        <v>20032000000000</v>
      </c>
      <c r="DI72" s="5">
        <v>661060000000</v>
      </c>
      <c r="DJ72" s="5">
        <v>13937000000000</v>
      </c>
      <c r="DK72" s="5">
        <v>461300000000</v>
      </c>
      <c r="DL72" s="5">
        <v>9629600000000</v>
      </c>
      <c r="DM72" s="5">
        <v>326440000000</v>
      </c>
      <c r="DN72" s="5">
        <v>7433800000000</v>
      </c>
      <c r="DO72" s="5">
        <v>263160000000</v>
      </c>
      <c r="DP72" s="5">
        <v>6183100000000</v>
      </c>
      <c r="DQ72" s="5">
        <v>281950000000</v>
      </c>
      <c r="DR72" s="5">
        <v>4423000000000</v>
      </c>
      <c r="DS72" s="5">
        <v>159230000000</v>
      </c>
      <c r="DT72" s="5">
        <v>3141000000000</v>
      </c>
      <c r="DU72" s="5">
        <v>117470000000</v>
      </c>
      <c r="DV72" s="5">
        <v>2082700000000</v>
      </c>
      <c r="DW72" s="5">
        <v>73518000000</v>
      </c>
      <c r="DX72" s="5">
        <v>1623500000000</v>
      </c>
      <c r="DY72" s="5">
        <v>63966000000</v>
      </c>
      <c r="DZ72" s="5">
        <v>1128900000000</v>
      </c>
      <c r="EA72" s="5">
        <v>45044000000</v>
      </c>
      <c r="EB72" s="5">
        <v>814310000000</v>
      </c>
      <c r="EC72" s="5">
        <v>32328000000</v>
      </c>
      <c r="ED72" s="5">
        <v>535660000000</v>
      </c>
      <c r="EE72" s="5">
        <v>22873000000</v>
      </c>
      <c r="EF72" s="5">
        <v>338190000000</v>
      </c>
      <c r="EG72" s="5">
        <v>17755000000</v>
      </c>
      <c r="EH72" s="5">
        <v>201120000000</v>
      </c>
      <c r="EI72" s="5">
        <v>10116000000</v>
      </c>
      <c r="EJ72" s="5">
        <v>120940000000</v>
      </c>
      <c r="EK72" s="5">
        <v>7425600000</v>
      </c>
      <c r="EL72" s="5">
        <v>67434000000</v>
      </c>
      <c r="EM72" s="5">
        <v>4794600000</v>
      </c>
      <c r="EN72" s="5">
        <v>34512000000</v>
      </c>
      <c r="EO72" s="5">
        <v>3534000000</v>
      </c>
      <c r="EP72" s="5">
        <v>437360</v>
      </c>
      <c r="EQ72" s="5">
        <v>38532</v>
      </c>
    </row>
    <row r="73" spans="1:147">
      <c r="A73" s="5"/>
      <c r="B73" s="5"/>
      <c r="C73" s="5"/>
      <c r="D73" s="5"/>
      <c r="E73" s="5">
        <v>0</v>
      </c>
      <c r="F73" s="5">
        <v>0</v>
      </c>
      <c r="G73" s="5">
        <v>0</v>
      </c>
      <c r="H73" s="5">
        <v>0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7679300000000</v>
      </c>
      <c r="Y73" s="5">
        <v>7679300000000</v>
      </c>
      <c r="Z73" s="5">
        <v>0</v>
      </c>
      <c r="AA73" s="5">
        <v>0</v>
      </c>
      <c r="AB73" s="5">
        <v>0</v>
      </c>
      <c r="AC73" s="5">
        <v>0</v>
      </c>
      <c r="AD73" s="5">
        <v>7715600000000</v>
      </c>
      <c r="AE73" s="5">
        <v>5455700000000</v>
      </c>
      <c r="AF73" s="5">
        <v>15332000000000</v>
      </c>
      <c r="AG73" s="5">
        <v>6856300000000</v>
      </c>
      <c r="AH73" s="5">
        <v>69810000000000</v>
      </c>
      <c r="AI73" s="5">
        <v>62543000000000</v>
      </c>
      <c r="AJ73" s="5">
        <v>20099000000000</v>
      </c>
      <c r="AK73" s="5">
        <v>14572000000000</v>
      </c>
      <c r="AL73" s="5">
        <v>193150000000000</v>
      </c>
      <c r="AM73" s="5">
        <v>103050000000000</v>
      </c>
      <c r="AN73" s="5">
        <v>62241000000000</v>
      </c>
      <c r="AO73" s="5">
        <v>28824000000000</v>
      </c>
      <c r="AP73" s="5">
        <v>145520000000000</v>
      </c>
      <c r="AQ73" s="5">
        <v>60639000000000</v>
      </c>
      <c r="AR73" s="5">
        <v>237420000000000</v>
      </c>
      <c r="AS73" s="5">
        <v>86397000000000</v>
      </c>
      <c r="AT73" s="5">
        <v>270040000000000</v>
      </c>
      <c r="AU73" s="5">
        <v>84605000000000</v>
      </c>
      <c r="AV73" s="5">
        <v>466140000000000</v>
      </c>
      <c r="AW73" s="5">
        <v>93647000000000</v>
      </c>
      <c r="AX73" s="5">
        <v>652420000000000</v>
      </c>
      <c r="AY73" s="5">
        <v>138440000000000</v>
      </c>
      <c r="AZ73" s="5">
        <v>781690000000000</v>
      </c>
      <c r="BA73" s="5">
        <v>114910000000000</v>
      </c>
      <c r="BB73" s="5">
        <v>975280000000000</v>
      </c>
      <c r="BC73" s="5">
        <v>119280000000000</v>
      </c>
      <c r="BD73" s="5">
        <v>1133400000000000</v>
      </c>
      <c r="BE73" s="5">
        <v>161510000000000</v>
      </c>
      <c r="BF73" s="5">
        <v>1336400000000000</v>
      </c>
      <c r="BG73" s="5">
        <v>122020000000000</v>
      </c>
      <c r="BH73" s="5">
        <v>1691700000000000</v>
      </c>
      <c r="BI73" s="5">
        <v>145820000000000</v>
      </c>
      <c r="BJ73" s="5">
        <v>2111900000000000</v>
      </c>
      <c r="BK73" s="5">
        <v>134950000000000</v>
      </c>
      <c r="BL73" s="5">
        <v>2585400000000000</v>
      </c>
      <c r="BM73" s="5">
        <v>154870000000000</v>
      </c>
      <c r="BN73" s="5">
        <v>3045500000000000</v>
      </c>
      <c r="BO73" s="5">
        <v>365160000000000</v>
      </c>
      <c r="BP73" s="5">
        <v>3163000000000000</v>
      </c>
      <c r="BQ73" s="5">
        <v>147080000000000</v>
      </c>
      <c r="BR73" s="5">
        <v>3631900000000000</v>
      </c>
      <c r="BS73" s="5">
        <v>145640000000000</v>
      </c>
      <c r="BT73" s="5">
        <v>3421300000000000</v>
      </c>
      <c r="BU73" s="5">
        <v>133430000000000</v>
      </c>
      <c r="BV73" s="5">
        <v>3377000000000000</v>
      </c>
      <c r="BW73" s="5">
        <v>114480000000000</v>
      </c>
      <c r="BX73" s="5">
        <v>3363100000000000</v>
      </c>
      <c r="BY73" s="5">
        <v>116700000000000</v>
      </c>
      <c r="BZ73" s="5">
        <v>3121800000000000</v>
      </c>
      <c r="CA73" s="5">
        <v>97087000000000</v>
      </c>
      <c r="CB73" s="5">
        <v>2775200000000000</v>
      </c>
      <c r="CC73" s="5">
        <v>91303000000000</v>
      </c>
      <c r="CD73" s="5">
        <v>2398500000000000</v>
      </c>
      <c r="CE73" s="5">
        <v>45092000000000</v>
      </c>
      <c r="CF73" s="5">
        <v>1992800000000000</v>
      </c>
      <c r="CG73" s="5">
        <v>35870000000000</v>
      </c>
      <c r="CH73" s="5">
        <v>1568100000000000</v>
      </c>
      <c r="CI73" s="5">
        <v>27285000000000</v>
      </c>
      <c r="CJ73" s="5">
        <v>1119600000000000</v>
      </c>
      <c r="CK73" s="5">
        <v>19033000000000</v>
      </c>
      <c r="CL73" s="5">
        <v>764690000000000</v>
      </c>
      <c r="CM73" s="5">
        <v>14147000000000</v>
      </c>
      <c r="CN73" s="5">
        <v>493600000000000</v>
      </c>
      <c r="CO73" s="5">
        <v>10218000000000</v>
      </c>
      <c r="CP73" s="5">
        <v>337050000000000</v>
      </c>
      <c r="CQ73" s="5">
        <v>7347600000000</v>
      </c>
      <c r="CR73" s="5">
        <v>227950000000000</v>
      </c>
      <c r="CS73" s="5">
        <v>5402500000000</v>
      </c>
      <c r="CT73" s="5">
        <v>150220000000000</v>
      </c>
      <c r="CU73" s="5">
        <v>3905700000000</v>
      </c>
      <c r="CV73" s="5">
        <v>108380000000000</v>
      </c>
      <c r="CW73" s="5">
        <v>2926200000000</v>
      </c>
      <c r="CX73" s="5">
        <v>77961000000000</v>
      </c>
      <c r="CY73" s="5">
        <v>2260900000000</v>
      </c>
      <c r="CZ73" s="5">
        <v>60299000000000</v>
      </c>
      <c r="DA73" s="5">
        <v>1772800000000</v>
      </c>
      <c r="DB73" s="5">
        <v>39407000000000</v>
      </c>
      <c r="DC73" s="5">
        <v>1237400000000</v>
      </c>
      <c r="DD73" s="5">
        <v>29443000000000</v>
      </c>
      <c r="DE73" s="5">
        <v>1004000000000</v>
      </c>
      <c r="DF73" s="5">
        <v>22515000000000</v>
      </c>
      <c r="DG73" s="5">
        <v>713730000000</v>
      </c>
      <c r="DH73" s="5">
        <v>14555000000000</v>
      </c>
      <c r="DI73" s="5">
        <v>478860000000</v>
      </c>
      <c r="DJ73" s="5">
        <v>11234000000000</v>
      </c>
      <c r="DK73" s="5">
        <v>380840000000</v>
      </c>
      <c r="DL73" s="5">
        <v>8254500000000</v>
      </c>
      <c r="DM73" s="5">
        <v>297990000000</v>
      </c>
      <c r="DN73" s="5">
        <v>6070900000000</v>
      </c>
      <c r="DO73" s="5">
        <v>226440000000</v>
      </c>
      <c r="DP73" s="5">
        <v>4661000000000</v>
      </c>
      <c r="DQ73" s="5">
        <v>168260000000</v>
      </c>
      <c r="DR73" s="5">
        <v>3356600000000</v>
      </c>
      <c r="DS73" s="5">
        <v>122520000000</v>
      </c>
      <c r="DT73" s="5">
        <v>2366700000000</v>
      </c>
      <c r="DU73" s="5">
        <v>89699000000</v>
      </c>
      <c r="DV73" s="5">
        <v>1667800000000</v>
      </c>
      <c r="DW73" s="5">
        <v>62377000000</v>
      </c>
      <c r="DX73" s="5">
        <v>1201700000000</v>
      </c>
      <c r="DY73" s="5">
        <v>52994000000</v>
      </c>
      <c r="DZ73" s="5">
        <v>825710000000</v>
      </c>
      <c r="EA73" s="5">
        <v>35093000000</v>
      </c>
      <c r="EB73" s="5">
        <v>548700000000</v>
      </c>
      <c r="EC73" s="5">
        <v>24033000000</v>
      </c>
      <c r="ED73" s="5">
        <v>380670000000</v>
      </c>
      <c r="EE73" s="5">
        <v>20023000000</v>
      </c>
      <c r="EF73" s="5">
        <v>225190000000</v>
      </c>
      <c r="EG73" s="5">
        <v>12385000000</v>
      </c>
      <c r="EH73" s="5">
        <v>128520000000</v>
      </c>
      <c r="EI73" s="5">
        <v>8405300000</v>
      </c>
      <c r="EJ73" s="5">
        <v>66864000000</v>
      </c>
      <c r="EK73" s="5">
        <v>5248800000</v>
      </c>
      <c r="EL73" s="5">
        <v>36879000000</v>
      </c>
      <c r="EM73" s="5">
        <v>3691600000</v>
      </c>
      <c r="EN73" s="5">
        <v>18539000000</v>
      </c>
      <c r="EO73" s="5">
        <v>1961400000</v>
      </c>
      <c r="EP73" s="5">
        <v>210890</v>
      </c>
      <c r="EQ73" s="5">
        <v>31232</v>
      </c>
    </row>
    <row r="74" spans="1:147">
      <c r="A74" s="5"/>
      <c r="B74" s="5"/>
      <c r="C74" s="5"/>
      <c r="D74" s="5"/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739020000000000</v>
      </c>
      <c r="AA74" s="5">
        <v>733620000000000</v>
      </c>
      <c r="AB74" s="5">
        <v>0</v>
      </c>
      <c r="AC74" s="5">
        <v>0</v>
      </c>
      <c r="AD74" s="5">
        <v>21764000000000</v>
      </c>
      <c r="AE74" s="5">
        <v>15672000000000</v>
      </c>
      <c r="AF74" s="5">
        <v>5450000000000</v>
      </c>
      <c r="AG74" s="5">
        <v>3853700000000</v>
      </c>
      <c r="AH74" s="5">
        <v>23819000000000</v>
      </c>
      <c r="AI74" s="5">
        <v>7655500000000</v>
      </c>
      <c r="AJ74" s="5">
        <v>89392000000000</v>
      </c>
      <c r="AK74" s="5">
        <v>65390000000000</v>
      </c>
      <c r="AL74" s="5">
        <v>120850000000000</v>
      </c>
      <c r="AM74" s="5">
        <v>52000000000000</v>
      </c>
      <c r="AN74" s="5">
        <v>164520000000000</v>
      </c>
      <c r="AO74" s="5">
        <v>50163000000000</v>
      </c>
      <c r="AP74" s="5">
        <v>239280000000000</v>
      </c>
      <c r="AQ74" s="5">
        <v>84084000000000</v>
      </c>
      <c r="AR74" s="5">
        <v>315180000000000</v>
      </c>
      <c r="AS74" s="5">
        <v>88881000000000</v>
      </c>
      <c r="AT74" s="5">
        <v>628450000000000</v>
      </c>
      <c r="AU74" s="5">
        <v>175710000000000</v>
      </c>
      <c r="AV74" s="5">
        <v>628370000000000</v>
      </c>
      <c r="AW74" s="5">
        <v>108390000000000</v>
      </c>
      <c r="AX74" s="5">
        <v>916380000000000</v>
      </c>
      <c r="AY74" s="5">
        <v>129210000000000</v>
      </c>
      <c r="AZ74" s="5">
        <v>1087100000000000</v>
      </c>
      <c r="BA74" s="5">
        <v>128060000000000</v>
      </c>
      <c r="BB74" s="5">
        <v>1243800000000000</v>
      </c>
      <c r="BC74" s="5">
        <v>135330000000000</v>
      </c>
      <c r="BD74" s="5">
        <v>1903200000000000</v>
      </c>
      <c r="BE74" s="5">
        <v>158540000000000</v>
      </c>
      <c r="BF74" s="5">
        <v>2134900000000000</v>
      </c>
      <c r="BG74" s="5">
        <v>152220000000000</v>
      </c>
      <c r="BH74" s="5">
        <v>2314700000000000</v>
      </c>
      <c r="BI74" s="5">
        <v>138190000000000</v>
      </c>
      <c r="BJ74" s="5">
        <v>2863400000000000</v>
      </c>
      <c r="BK74" s="5">
        <v>156920000000000</v>
      </c>
      <c r="BL74" s="5">
        <v>3229800000000000</v>
      </c>
      <c r="BM74" s="5">
        <v>154060000000000</v>
      </c>
      <c r="BN74" s="5">
        <v>3358600000000000</v>
      </c>
      <c r="BO74" s="5">
        <v>153490000000000</v>
      </c>
      <c r="BP74" s="5">
        <v>3900900000000000</v>
      </c>
      <c r="BQ74" s="5">
        <v>151360000000000</v>
      </c>
      <c r="BR74" s="5">
        <v>3981900000000000</v>
      </c>
      <c r="BS74" s="5">
        <v>145340000000000</v>
      </c>
      <c r="BT74" s="5">
        <v>3807500000000000</v>
      </c>
      <c r="BU74" s="5">
        <v>129460000000000</v>
      </c>
      <c r="BV74" s="5">
        <v>3611200000000000</v>
      </c>
      <c r="BW74" s="5">
        <v>113030000000000</v>
      </c>
      <c r="BX74" s="5">
        <v>3288300000000000</v>
      </c>
      <c r="BY74" s="5">
        <v>110160000000000</v>
      </c>
      <c r="BZ74" s="5">
        <v>2936800000000000</v>
      </c>
      <c r="CA74" s="5">
        <v>77826000000000</v>
      </c>
      <c r="CB74" s="5">
        <v>2458700000000000</v>
      </c>
      <c r="CC74" s="5">
        <v>74989000000000</v>
      </c>
      <c r="CD74" s="5">
        <v>2100900000000000</v>
      </c>
      <c r="CE74" s="5">
        <v>40757000000000</v>
      </c>
      <c r="CF74" s="5">
        <v>1697300000000000</v>
      </c>
      <c r="CG74" s="5">
        <v>30211000000000</v>
      </c>
      <c r="CH74" s="5">
        <v>1218700000000000</v>
      </c>
      <c r="CI74" s="5">
        <v>21693000000000</v>
      </c>
      <c r="CJ74" s="5">
        <v>821500000000000</v>
      </c>
      <c r="CK74" s="5">
        <v>15937000000000</v>
      </c>
      <c r="CL74" s="5">
        <v>534880000000000</v>
      </c>
      <c r="CM74" s="5">
        <v>11179000000000</v>
      </c>
      <c r="CN74" s="5">
        <v>356390000000000</v>
      </c>
      <c r="CO74" s="5">
        <v>8339500000000</v>
      </c>
      <c r="CP74" s="5">
        <v>239750000000000</v>
      </c>
      <c r="CQ74" s="5">
        <v>5562200000000</v>
      </c>
      <c r="CR74" s="5">
        <v>165280000000000</v>
      </c>
      <c r="CS74" s="5">
        <v>4429400000000</v>
      </c>
      <c r="CT74" s="5">
        <v>118160000000000</v>
      </c>
      <c r="CU74" s="5">
        <v>3249300000000</v>
      </c>
      <c r="CV74" s="5">
        <v>84452000000000</v>
      </c>
      <c r="CW74" s="5">
        <v>2474400000000</v>
      </c>
      <c r="CX74" s="5">
        <v>60229000000000</v>
      </c>
      <c r="CY74" s="5">
        <v>1837000000000</v>
      </c>
      <c r="CZ74" s="5">
        <v>42114000000000</v>
      </c>
      <c r="DA74" s="5">
        <v>1440300000000</v>
      </c>
      <c r="DB74" s="5">
        <v>30729000000000</v>
      </c>
      <c r="DC74" s="5">
        <v>1050900000000</v>
      </c>
      <c r="DD74" s="5">
        <v>21831000000000</v>
      </c>
      <c r="DE74" s="5">
        <v>748820000000</v>
      </c>
      <c r="DF74" s="5">
        <v>17007000000000</v>
      </c>
      <c r="DG74" s="5">
        <v>590140000000</v>
      </c>
      <c r="DH74" s="5">
        <v>11955000000000</v>
      </c>
      <c r="DI74" s="5">
        <v>426810000000</v>
      </c>
      <c r="DJ74" s="5">
        <v>8428500000000</v>
      </c>
      <c r="DK74" s="5">
        <v>313540000000</v>
      </c>
      <c r="DL74" s="5">
        <v>5838700000000</v>
      </c>
      <c r="DM74" s="5">
        <v>217790000000</v>
      </c>
      <c r="DN74" s="5">
        <v>4458400000000</v>
      </c>
      <c r="DO74" s="5">
        <v>178780000000</v>
      </c>
      <c r="DP74" s="5">
        <v>3447300000000</v>
      </c>
      <c r="DQ74" s="5">
        <v>131000000000</v>
      </c>
      <c r="DR74" s="5">
        <v>2662400000000</v>
      </c>
      <c r="DS74" s="5">
        <v>106760000000</v>
      </c>
      <c r="DT74" s="5">
        <v>1702200000000</v>
      </c>
      <c r="DU74" s="5">
        <v>69449000000</v>
      </c>
      <c r="DV74" s="5">
        <v>1181200000000</v>
      </c>
      <c r="DW74" s="5">
        <v>50435000000</v>
      </c>
      <c r="DX74" s="5">
        <v>851860000000</v>
      </c>
      <c r="DY74" s="5">
        <v>36374000000</v>
      </c>
      <c r="DZ74" s="5">
        <v>601010000000</v>
      </c>
      <c r="EA74" s="5">
        <v>28728000000</v>
      </c>
      <c r="EB74" s="5">
        <v>388720000000</v>
      </c>
      <c r="EC74" s="5">
        <v>21457000000</v>
      </c>
      <c r="ED74" s="5">
        <v>256310000000</v>
      </c>
      <c r="EE74" s="5">
        <v>16634000000</v>
      </c>
      <c r="EF74" s="5">
        <v>131400000000</v>
      </c>
      <c r="EG74" s="5">
        <v>9132500000</v>
      </c>
      <c r="EH74" s="5">
        <v>76556000000</v>
      </c>
      <c r="EI74" s="5">
        <v>7104400000</v>
      </c>
      <c r="EJ74" s="5">
        <v>35862000000</v>
      </c>
      <c r="EK74" s="5">
        <v>4142100000</v>
      </c>
      <c r="EL74" s="5">
        <v>20064000000</v>
      </c>
      <c r="EM74" s="5">
        <v>2183000000</v>
      </c>
      <c r="EN74" s="5">
        <v>8597600000</v>
      </c>
      <c r="EO74" s="5">
        <v>1284500000</v>
      </c>
      <c r="EP74" s="5">
        <v>67882</v>
      </c>
      <c r="EQ74" s="5">
        <v>12775</v>
      </c>
    </row>
    <row r="75" spans="1:147">
      <c r="A75" s="5"/>
      <c r="B75" s="5"/>
      <c r="C75" s="5"/>
      <c r="D75" s="5"/>
      <c r="E75" s="5">
        <v>0</v>
      </c>
      <c r="F75" s="5">
        <v>0</v>
      </c>
      <c r="G75" s="5">
        <v>0</v>
      </c>
      <c r="H75" s="5">
        <v>0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 s="5">
        <v>0</v>
      </c>
      <c r="O75" s="5">
        <v>0</v>
      </c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7683800000000</v>
      </c>
      <c r="W75" s="5">
        <v>7683800000000</v>
      </c>
      <c r="X75" s="5">
        <v>0</v>
      </c>
      <c r="Y75" s="5">
        <v>0</v>
      </c>
      <c r="Z75" s="5">
        <v>4861300000000</v>
      </c>
      <c r="AA75" s="5">
        <v>4861300000000</v>
      </c>
      <c r="AB75" s="5">
        <v>11566000000000</v>
      </c>
      <c r="AC75" s="5">
        <v>6678300000000</v>
      </c>
      <c r="AD75" s="5">
        <v>9172300000000</v>
      </c>
      <c r="AE75" s="5">
        <v>5296100000000</v>
      </c>
      <c r="AF75" s="5">
        <v>107560000000000</v>
      </c>
      <c r="AG75" s="5">
        <v>72507000000000</v>
      </c>
      <c r="AH75" s="5">
        <v>56924000000000</v>
      </c>
      <c r="AI75" s="5">
        <v>35134000000000</v>
      </c>
      <c r="AJ75" s="5">
        <v>123680000000000</v>
      </c>
      <c r="AK75" s="5">
        <v>76487000000000</v>
      </c>
      <c r="AL75" s="5">
        <v>245260000000000</v>
      </c>
      <c r="AM75" s="5">
        <v>84787000000000</v>
      </c>
      <c r="AN75" s="5">
        <v>151260000000000</v>
      </c>
      <c r="AO75" s="5">
        <v>65405000000000</v>
      </c>
      <c r="AP75" s="5">
        <v>228820000000000</v>
      </c>
      <c r="AQ75" s="5">
        <v>73656000000000</v>
      </c>
      <c r="AR75" s="5">
        <v>508560000000000</v>
      </c>
      <c r="AS75" s="5">
        <v>103340000000000</v>
      </c>
      <c r="AT75" s="5">
        <v>584340000000000</v>
      </c>
      <c r="AU75" s="5">
        <v>107230000000000</v>
      </c>
      <c r="AV75" s="5">
        <v>1021900000000000</v>
      </c>
      <c r="AW75" s="5">
        <v>136120000000000</v>
      </c>
      <c r="AX75" s="5">
        <v>1068200000000000</v>
      </c>
      <c r="AY75" s="5">
        <v>141100000000000</v>
      </c>
      <c r="AZ75" s="5">
        <v>1573600000000000</v>
      </c>
      <c r="BA75" s="5">
        <v>163650000000000</v>
      </c>
      <c r="BB75" s="5">
        <v>1879200000000000</v>
      </c>
      <c r="BC75" s="5">
        <v>148080000000000</v>
      </c>
      <c r="BD75" s="5">
        <v>2183900000000000</v>
      </c>
      <c r="BE75" s="5">
        <v>183440000000000</v>
      </c>
      <c r="BF75" s="5">
        <v>2903200000000000</v>
      </c>
      <c r="BG75" s="5">
        <v>168970000000000</v>
      </c>
      <c r="BH75" s="5">
        <v>2950900000000000</v>
      </c>
      <c r="BI75" s="5">
        <v>174400000000000</v>
      </c>
      <c r="BJ75" s="5">
        <v>3269700000000000</v>
      </c>
      <c r="BK75" s="5">
        <v>148120000000000</v>
      </c>
      <c r="BL75" s="5">
        <v>4150300000000000</v>
      </c>
      <c r="BM75" s="5">
        <v>179290000000000</v>
      </c>
      <c r="BN75" s="5">
        <v>4269600000000000</v>
      </c>
      <c r="BO75" s="5">
        <v>160540000000000</v>
      </c>
      <c r="BP75" s="5">
        <v>4508100000000000</v>
      </c>
      <c r="BQ75" s="5">
        <v>157780000000000</v>
      </c>
      <c r="BR75" s="5">
        <v>4193600000000000</v>
      </c>
      <c r="BS75" s="5">
        <v>135870000000000</v>
      </c>
      <c r="BT75" s="5">
        <v>4109800000000000</v>
      </c>
      <c r="BU75" s="5">
        <v>130690000000000</v>
      </c>
      <c r="BV75" s="5">
        <v>3616100000000000</v>
      </c>
      <c r="BW75" s="5">
        <v>101970000000000</v>
      </c>
      <c r="BX75" s="5">
        <v>3165000000000000</v>
      </c>
      <c r="BY75" s="5">
        <v>88938000000000</v>
      </c>
      <c r="BZ75" s="5">
        <v>2798600000000000</v>
      </c>
      <c r="CA75" s="5">
        <v>80041000000000</v>
      </c>
      <c r="CB75" s="5">
        <v>2102800000000000</v>
      </c>
      <c r="CC75" s="5">
        <v>53620000000000</v>
      </c>
      <c r="CD75" s="5">
        <v>1727700000000000</v>
      </c>
      <c r="CE75" s="5">
        <v>30754000000000</v>
      </c>
      <c r="CF75" s="5">
        <v>1342800000000000</v>
      </c>
      <c r="CG75" s="5">
        <v>25514000000000</v>
      </c>
      <c r="CH75" s="5">
        <v>882290000000000</v>
      </c>
      <c r="CI75" s="5">
        <v>16940000000000</v>
      </c>
      <c r="CJ75" s="5">
        <v>579830000000000</v>
      </c>
      <c r="CK75" s="5">
        <v>12176000000000</v>
      </c>
      <c r="CL75" s="5">
        <v>387380000000000</v>
      </c>
      <c r="CM75" s="5">
        <v>8754800000000</v>
      </c>
      <c r="CN75" s="5">
        <v>250510000000000</v>
      </c>
      <c r="CO75" s="5">
        <v>6062300000000</v>
      </c>
      <c r="CP75" s="5">
        <v>176040000000000</v>
      </c>
      <c r="CQ75" s="5">
        <v>4735500000000</v>
      </c>
      <c r="CR75" s="5">
        <v>114970000000000</v>
      </c>
      <c r="CS75" s="5">
        <v>3299700000000</v>
      </c>
      <c r="CT75" s="5">
        <v>79050000000000</v>
      </c>
      <c r="CU75" s="5">
        <v>2490100000000</v>
      </c>
      <c r="CV75" s="5">
        <v>60001000000000</v>
      </c>
      <c r="CW75" s="5">
        <v>1818000000000</v>
      </c>
      <c r="CX75" s="5">
        <v>47820000000000</v>
      </c>
      <c r="CY75" s="5">
        <v>1511100000000</v>
      </c>
      <c r="CZ75" s="5">
        <v>33476000000000</v>
      </c>
      <c r="DA75" s="5">
        <v>1171700000000</v>
      </c>
      <c r="DB75" s="5">
        <v>24753000000000</v>
      </c>
      <c r="DC75" s="5">
        <v>816840000000</v>
      </c>
      <c r="DD75" s="5">
        <v>17185000000000</v>
      </c>
      <c r="DE75" s="5">
        <v>568810000000</v>
      </c>
      <c r="DF75" s="5">
        <v>12792000000000</v>
      </c>
      <c r="DG75" s="5">
        <v>446450000000</v>
      </c>
      <c r="DH75" s="5">
        <v>9185300000000</v>
      </c>
      <c r="DI75" s="5">
        <v>353630000000</v>
      </c>
      <c r="DJ75" s="5">
        <v>6521100000000</v>
      </c>
      <c r="DK75" s="5">
        <v>261500000000</v>
      </c>
      <c r="DL75" s="5">
        <v>4356900000000</v>
      </c>
      <c r="DM75" s="5">
        <v>168610000000</v>
      </c>
      <c r="DN75" s="5">
        <v>3585200000000</v>
      </c>
      <c r="DO75" s="5">
        <v>140900000000</v>
      </c>
      <c r="DP75" s="5">
        <v>2661500000000</v>
      </c>
      <c r="DQ75" s="5">
        <v>106460000000</v>
      </c>
      <c r="DR75" s="5">
        <v>1940200000000</v>
      </c>
      <c r="DS75" s="5">
        <v>79548000000</v>
      </c>
      <c r="DT75" s="5">
        <v>1262400000000</v>
      </c>
      <c r="DU75" s="5">
        <v>51633000000</v>
      </c>
      <c r="DV75" s="5">
        <v>883240000000</v>
      </c>
      <c r="DW75" s="5">
        <v>39216000000</v>
      </c>
      <c r="DX75" s="5">
        <v>611730000000</v>
      </c>
      <c r="DY75" s="5">
        <v>28384000000</v>
      </c>
      <c r="DZ75" s="5">
        <v>340610000000</v>
      </c>
      <c r="EA75" s="5">
        <v>16724000000</v>
      </c>
      <c r="EB75" s="5">
        <v>239810000000</v>
      </c>
      <c r="EC75" s="5">
        <v>13285000000</v>
      </c>
      <c r="ED75" s="5">
        <v>146890000000</v>
      </c>
      <c r="EE75" s="5">
        <v>9165800000</v>
      </c>
      <c r="EF75" s="5">
        <v>74940000000</v>
      </c>
      <c r="EG75" s="5">
        <v>7434000000</v>
      </c>
      <c r="EH75" s="5">
        <v>38194000000</v>
      </c>
      <c r="EI75" s="5">
        <v>3976000000</v>
      </c>
      <c r="EJ75" s="5">
        <v>15120000000</v>
      </c>
      <c r="EK75" s="5">
        <v>1818900000</v>
      </c>
      <c r="EL75" s="5">
        <v>5739500000</v>
      </c>
      <c r="EM75" s="5">
        <v>900530000</v>
      </c>
      <c r="EN75" s="5">
        <v>2068400000</v>
      </c>
      <c r="EO75" s="5">
        <v>524530000</v>
      </c>
      <c r="EP75" s="5">
        <v>8879</v>
      </c>
      <c r="EQ75" s="5">
        <v>3208</v>
      </c>
    </row>
    <row r="76" spans="1:147">
      <c r="A76" s="5"/>
      <c r="B76" s="5"/>
      <c r="C76" s="5"/>
      <c r="D76" s="5"/>
      <c r="E76" s="5">
        <v>0</v>
      </c>
      <c r="F76" s="5">
        <v>0</v>
      </c>
      <c r="G76" s="5">
        <v>0</v>
      </c>
      <c r="H76" s="5">
        <v>0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 s="5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10886000000000</v>
      </c>
      <c r="Y76" s="5">
        <v>7697600000000</v>
      </c>
      <c r="Z76" s="5">
        <v>30125000000000</v>
      </c>
      <c r="AA76" s="5">
        <v>12884000000000</v>
      </c>
      <c r="AB76" s="5">
        <v>18224000000000</v>
      </c>
      <c r="AC76" s="5">
        <v>9908500000000</v>
      </c>
      <c r="AD76" s="5">
        <v>41788000000000</v>
      </c>
      <c r="AE76" s="5">
        <v>10798000000000</v>
      </c>
      <c r="AF76" s="5">
        <v>38485000000000</v>
      </c>
      <c r="AG76" s="5">
        <v>9821400000000</v>
      </c>
      <c r="AH76" s="5">
        <v>86872000000000</v>
      </c>
      <c r="AI76" s="5">
        <v>42663000000000</v>
      </c>
      <c r="AJ76" s="5">
        <v>227210000000000</v>
      </c>
      <c r="AK76" s="5">
        <v>89363000000000</v>
      </c>
      <c r="AL76" s="5">
        <v>283550000000000</v>
      </c>
      <c r="AM76" s="5">
        <v>167470000000000</v>
      </c>
      <c r="AN76" s="5">
        <v>263450000000000</v>
      </c>
      <c r="AO76" s="5">
        <v>70946000000000</v>
      </c>
      <c r="AP76" s="5">
        <v>257360000000000</v>
      </c>
      <c r="AQ76" s="5">
        <v>58240000000000</v>
      </c>
      <c r="AR76" s="5">
        <v>842390000000000</v>
      </c>
      <c r="AS76" s="5">
        <v>134450000000000</v>
      </c>
      <c r="AT76" s="5">
        <v>870000000000000</v>
      </c>
      <c r="AU76" s="5">
        <v>121190000000000</v>
      </c>
      <c r="AV76" s="5">
        <v>1062300000000000</v>
      </c>
      <c r="AW76" s="5">
        <v>118020000000000</v>
      </c>
      <c r="AX76" s="5">
        <v>2327500000000000</v>
      </c>
      <c r="AY76" s="5">
        <v>321890000000000</v>
      </c>
      <c r="AZ76" s="5">
        <v>2237900000000000</v>
      </c>
      <c r="BA76" s="5">
        <v>175010000000000</v>
      </c>
      <c r="BB76" s="5">
        <v>2592200000000000</v>
      </c>
      <c r="BC76" s="5">
        <v>186380000000000</v>
      </c>
      <c r="BD76" s="5">
        <v>2986100000000000</v>
      </c>
      <c r="BE76" s="5">
        <v>188720000000000</v>
      </c>
      <c r="BF76" s="5">
        <v>3312400000000000</v>
      </c>
      <c r="BG76" s="5">
        <v>169270000000000</v>
      </c>
      <c r="BH76" s="5">
        <v>3804600000000000</v>
      </c>
      <c r="BI76" s="5">
        <v>160170000000000</v>
      </c>
      <c r="BJ76" s="5">
        <v>4017900000000000</v>
      </c>
      <c r="BK76" s="5">
        <v>155090000000000</v>
      </c>
      <c r="BL76" s="5">
        <v>4360800000000000</v>
      </c>
      <c r="BM76" s="5">
        <v>160040000000000</v>
      </c>
      <c r="BN76" s="5">
        <v>4909700000000000</v>
      </c>
      <c r="BO76" s="5">
        <v>165950000000000</v>
      </c>
      <c r="BP76" s="5">
        <v>5014200000000000</v>
      </c>
      <c r="BQ76" s="5">
        <v>162960000000000</v>
      </c>
      <c r="BR76" s="5">
        <v>4414900000000000</v>
      </c>
      <c r="BS76" s="5">
        <v>128910000000000</v>
      </c>
      <c r="BT76" s="5">
        <v>3872000000000000</v>
      </c>
      <c r="BU76" s="5">
        <v>102220000000000</v>
      </c>
      <c r="BV76" s="5">
        <v>3311000000000000</v>
      </c>
      <c r="BW76" s="5">
        <v>94694000000000</v>
      </c>
      <c r="BX76" s="5">
        <v>2809300000000000</v>
      </c>
      <c r="BY76" s="5">
        <v>74167000000000</v>
      </c>
      <c r="BZ76" s="5">
        <v>2411400000000000</v>
      </c>
      <c r="CA76" s="5">
        <v>65108000000000</v>
      </c>
      <c r="CB76" s="5">
        <v>1847200000000000</v>
      </c>
      <c r="CC76" s="5">
        <v>54308000000000</v>
      </c>
      <c r="CD76" s="5">
        <v>1393900000000000</v>
      </c>
      <c r="CE76" s="5">
        <v>26345000000000</v>
      </c>
      <c r="CF76" s="5">
        <v>972600000000000</v>
      </c>
      <c r="CG76" s="5">
        <v>18674000000000</v>
      </c>
      <c r="CH76" s="5">
        <v>629710000000000</v>
      </c>
      <c r="CI76" s="5">
        <v>14735000000000</v>
      </c>
      <c r="CJ76" s="5">
        <v>415330000000000</v>
      </c>
      <c r="CK76" s="5">
        <v>9677200000000</v>
      </c>
      <c r="CL76" s="5">
        <v>274070000000000</v>
      </c>
      <c r="CM76" s="5">
        <v>7070900000000</v>
      </c>
      <c r="CN76" s="5">
        <v>182420000000000</v>
      </c>
      <c r="CO76" s="5">
        <v>4961900000000</v>
      </c>
      <c r="CP76" s="5">
        <v>129360000000000</v>
      </c>
      <c r="CQ76" s="5">
        <v>3803300000000</v>
      </c>
      <c r="CR76" s="5">
        <v>87673000000000</v>
      </c>
      <c r="CS76" s="5">
        <v>2779200000000</v>
      </c>
      <c r="CT76" s="5">
        <v>63609000000000</v>
      </c>
      <c r="CU76" s="5">
        <v>2150000000000</v>
      </c>
      <c r="CV76" s="5">
        <v>46117000000000</v>
      </c>
      <c r="CW76" s="5">
        <v>1554100000000</v>
      </c>
      <c r="CX76" s="5">
        <v>35523000000000</v>
      </c>
      <c r="CY76" s="5">
        <v>1474200000000</v>
      </c>
      <c r="CZ76" s="5">
        <v>25470000000000</v>
      </c>
      <c r="DA76" s="5">
        <v>873610000000</v>
      </c>
      <c r="DB76" s="5">
        <v>18086000000000</v>
      </c>
      <c r="DC76" s="5">
        <v>607710000000</v>
      </c>
      <c r="DD76" s="5">
        <v>13066000000000</v>
      </c>
      <c r="DE76" s="5">
        <v>531790000000</v>
      </c>
      <c r="DF76" s="5">
        <v>10439000000000</v>
      </c>
      <c r="DG76" s="5">
        <v>367460000000</v>
      </c>
      <c r="DH76" s="5">
        <v>7137600000000</v>
      </c>
      <c r="DI76" s="5">
        <v>271230000000</v>
      </c>
      <c r="DJ76" s="5">
        <v>5289200000000</v>
      </c>
      <c r="DK76" s="5">
        <v>197290000000</v>
      </c>
      <c r="DL76" s="5">
        <v>3709700000000</v>
      </c>
      <c r="DM76" s="5">
        <v>179550000000</v>
      </c>
      <c r="DN76" s="5">
        <v>2454300000000</v>
      </c>
      <c r="DO76" s="5">
        <v>99643000000</v>
      </c>
      <c r="DP76" s="5">
        <v>1827700000000</v>
      </c>
      <c r="DQ76" s="5">
        <v>76581000000</v>
      </c>
      <c r="DR76" s="5">
        <v>1272800000000</v>
      </c>
      <c r="DS76" s="5">
        <v>60967000000</v>
      </c>
      <c r="DT76" s="5">
        <v>1044000000000</v>
      </c>
      <c r="DU76" s="5">
        <v>51990000000</v>
      </c>
      <c r="DV76" s="5">
        <v>608570000000</v>
      </c>
      <c r="DW76" s="5">
        <v>30003000000</v>
      </c>
      <c r="DX76" s="5">
        <v>430380000000</v>
      </c>
      <c r="DY76" s="5">
        <v>27200000000</v>
      </c>
      <c r="DZ76" s="5">
        <v>251330000000</v>
      </c>
      <c r="EA76" s="5">
        <v>17342000000</v>
      </c>
      <c r="EB76" s="5">
        <v>122510000000</v>
      </c>
      <c r="EC76" s="5">
        <v>8587800000</v>
      </c>
      <c r="ED76" s="5">
        <v>73568000000</v>
      </c>
      <c r="EE76" s="5">
        <v>5907500000</v>
      </c>
      <c r="EF76" s="5">
        <v>41258000000</v>
      </c>
      <c r="EG76" s="5">
        <v>3680200000</v>
      </c>
      <c r="EH76" s="5">
        <v>14492000000</v>
      </c>
      <c r="EI76" s="5">
        <v>1897000000</v>
      </c>
      <c r="EJ76" s="5">
        <v>7207500000</v>
      </c>
      <c r="EK76" s="5">
        <v>1268500000</v>
      </c>
      <c r="EL76" s="5">
        <v>2612500000</v>
      </c>
      <c r="EM76" s="5">
        <v>679250000</v>
      </c>
      <c r="EN76" s="5">
        <v>396800000</v>
      </c>
      <c r="EO76" s="5">
        <v>153840000</v>
      </c>
      <c r="EP76" s="5">
        <v>6622.4</v>
      </c>
      <c r="EQ76" s="5">
        <v>3891.3</v>
      </c>
    </row>
    <row r="77" spans="1:147">
      <c r="A77" s="5"/>
      <c r="B77" s="5"/>
      <c r="C77" s="5"/>
      <c r="D77" s="5"/>
      <c r="E77" s="5">
        <v>0</v>
      </c>
      <c r="F77" s="5">
        <v>0</v>
      </c>
      <c r="G77" s="5">
        <v>0</v>
      </c>
      <c r="H77" s="5">
        <v>0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 s="5">
        <v>0</v>
      </c>
      <c r="O77" s="5">
        <v>0</v>
      </c>
      <c r="P77" s="5">
        <v>12270000000000</v>
      </c>
      <c r="Q77" s="5">
        <v>12270000000000</v>
      </c>
      <c r="R77" s="5">
        <v>0</v>
      </c>
      <c r="S77" s="5">
        <v>0</v>
      </c>
      <c r="T77" s="5">
        <v>7674000000000</v>
      </c>
      <c r="U77" s="5">
        <v>7674000000000</v>
      </c>
      <c r="V77" s="5">
        <v>0</v>
      </c>
      <c r="W77" s="5">
        <v>0</v>
      </c>
      <c r="X77" s="5">
        <v>4843300000000</v>
      </c>
      <c r="Y77" s="5">
        <v>4843300000000</v>
      </c>
      <c r="Z77" s="5">
        <v>15438000000000</v>
      </c>
      <c r="AA77" s="5">
        <v>7718900000000</v>
      </c>
      <c r="AB77" s="5">
        <v>12240000000000</v>
      </c>
      <c r="AC77" s="5">
        <v>6119800000000</v>
      </c>
      <c r="AD77" s="5">
        <v>47122000000000</v>
      </c>
      <c r="AE77" s="5">
        <v>18510000000000</v>
      </c>
      <c r="AF77" s="5">
        <v>124520000000000</v>
      </c>
      <c r="AG77" s="5">
        <v>84053000000000</v>
      </c>
      <c r="AH77" s="5">
        <v>222400000000000</v>
      </c>
      <c r="AI77" s="5">
        <v>88517000000000</v>
      </c>
      <c r="AJ77" s="5">
        <v>190200000000000</v>
      </c>
      <c r="AK77" s="5">
        <v>78323000000000</v>
      </c>
      <c r="AL77" s="5">
        <v>497870000000000</v>
      </c>
      <c r="AM77" s="5">
        <v>118440000000000</v>
      </c>
      <c r="AN77" s="5">
        <v>571070000000000</v>
      </c>
      <c r="AO77" s="5">
        <v>114440000000000</v>
      </c>
      <c r="AP77" s="5">
        <v>694850000000000</v>
      </c>
      <c r="AQ77" s="5">
        <v>120830000000000</v>
      </c>
      <c r="AR77" s="5">
        <v>1071700000000000</v>
      </c>
      <c r="AS77" s="5">
        <v>146400000000000</v>
      </c>
      <c r="AT77" s="5">
        <v>1279200000000000</v>
      </c>
      <c r="AU77" s="5">
        <v>141480000000000</v>
      </c>
      <c r="AV77" s="5">
        <v>1445200000000000</v>
      </c>
      <c r="AW77" s="5">
        <v>139320000000000</v>
      </c>
      <c r="AX77" s="5">
        <v>2380900000000000</v>
      </c>
      <c r="AY77" s="5">
        <v>214520000000000</v>
      </c>
      <c r="AZ77" s="5">
        <v>3259700000000000</v>
      </c>
      <c r="BA77" s="5">
        <v>258820000000000</v>
      </c>
      <c r="BB77" s="5">
        <v>3247200000000000</v>
      </c>
      <c r="BC77" s="5">
        <v>172750000000000</v>
      </c>
      <c r="BD77" s="5">
        <v>3839400000000000</v>
      </c>
      <c r="BE77" s="5">
        <v>173160000000000</v>
      </c>
      <c r="BF77" s="5">
        <v>4461100000000000</v>
      </c>
      <c r="BG77" s="5">
        <v>182010000000000</v>
      </c>
      <c r="BH77" s="5">
        <v>4586500000000000</v>
      </c>
      <c r="BI77" s="5">
        <v>181170000000000</v>
      </c>
      <c r="BJ77" s="5">
        <v>4853800000000000</v>
      </c>
      <c r="BK77" s="5">
        <v>170370000000000</v>
      </c>
      <c r="BL77" s="5">
        <v>5082600000000000</v>
      </c>
      <c r="BM77" s="5">
        <v>157050000000000</v>
      </c>
      <c r="BN77" s="5">
        <v>5263700000000000</v>
      </c>
      <c r="BO77" s="5">
        <v>155810000000000</v>
      </c>
      <c r="BP77" s="5">
        <v>5101200000000000</v>
      </c>
      <c r="BQ77" s="5">
        <v>138750000000000</v>
      </c>
      <c r="BR77" s="5">
        <v>4576700000000000</v>
      </c>
      <c r="BS77" s="5">
        <v>119910000000000</v>
      </c>
      <c r="BT77" s="5">
        <v>3935800000000000</v>
      </c>
      <c r="BU77" s="5">
        <v>108240000000000</v>
      </c>
      <c r="BV77" s="5">
        <v>3134600000000000</v>
      </c>
      <c r="BW77" s="5">
        <v>85575000000000</v>
      </c>
      <c r="BX77" s="5">
        <v>2540100000000000</v>
      </c>
      <c r="BY77" s="5">
        <v>71631000000000</v>
      </c>
      <c r="BZ77" s="5">
        <v>1985700000000000</v>
      </c>
      <c r="CA77" s="5">
        <v>62551000000000</v>
      </c>
      <c r="CB77" s="5">
        <v>1389800000000000</v>
      </c>
      <c r="CC77" s="5">
        <v>42389000000000</v>
      </c>
      <c r="CD77" s="5">
        <v>959870000000000</v>
      </c>
      <c r="CE77" s="5">
        <v>20829000000000</v>
      </c>
      <c r="CF77" s="5">
        <v>664910000000000</v>
      </c>
      <c r="CG77" s="5">
        <v>15293000000000</v>
      </c>
      <c r="CH77" s="5">
        <v>439680000000000</v>
      </c>
      <c r="CI77" s="5">
        <v>10816000000000</v>
      </c>
      <c r="CJ77" s="5">
        <v>281990000000000</v>
      </c>
      <c r="CK77" s="5">
        <v>7218900000000</v>
      </c>
      <c r="CL77" s="5">
        <v>198420000000000</v>
      </c>
      <c r="CM77" s="5">
        <v>5734300000000</v>
      </c>
      <c r="CN77" s="5">
        <v>135780000000000</v>
      </c>
      <c r="CO77" s="5">
        <v>4019100000000</v>
      </c>
      <c r="CP77" s="5">
        <v>88244000000000</v>
      </c>
      <c r="CQ77" s="5">
        <v>2823800000000</v>
      </c>
      <c r="CR77" s="5">
        <v>60218000000000</v>
      </c>
      <c r="CS77" s="5">
        <v>2023300000000</v>
      </c>
      <c r="CT77" s="5">
        <v>48441000000000</v>
      </c>
      <c r="CU77" s="5">
        <v>1806900000000</v>
      </c>
      <c r="CV77" s="5">
        <v>37127000000000</v>
      </c>
      <c r="CW77" s="5">
        <v>1422000000000</v>
      </c>
      <c r="CX77" s="5">
        <v>28232000000000</v>
      </c>
      <c r="CY77" s="5">
        <v>1013500000000</v>
      </c>
      <c r="CZ77" s="5">
        <v>20233000000000</v>
      </c>
      <c r="DA77" s="5">
        <v>738510000000</v>
      </c>
      <c r="DB77" s="5">
        <v>15397000000000</v>
      </c>
      <c r="DC77" s="5">
        <v>583550000000</v>
      </c>
      <c r="DD77" s="5">
        <v>10124000000000</v>
      </c>
      <c r="DE77" s="5">
        <v>435340000000</v>
      </c>
      <c r="DF77" s="5">
        <v>7751500000000</v>
      </c>
      <c r="DG77" s="5">
        <v>280600000000</v>
      </c>
      <c r="DH77" s="5">
        <v>5291700000000</v>
      </c>
      <c r="DI77" s="5">
        <v>222780000000</v>
      </c>
      <c r="DJ77" s="5">
        <v>4231400000000</v>
      </c>
      <c r="DK77" s="5">
        <v>189990000000</v>
      </c>
      <c r="DL77" s="5">
        <v>2492000000000</v>
      </c>
      <c r="DM77" s="5">
        <v>112390000000</v>
      </c>
      <c r="DN77" s="5">
        <v>1874700000000</v>
      </c>
      <c r="DO77" s="5">
        <v>82675000000</v>
      </c>
      <c r="DP77" s="5">
        <v>1476500000000</v>
      </c>
      <c r="DQ77" s="5">
        <v>67035000000</v>
      </c>
      <c r="DR77" s="5">
        <v>914890000000</v>
      </c>
      <c r="DS77" s="5">
        <v>46568000000</v>
      </c>
      <c r="DT77" s="5">
        <v>718430000000</v>
      </c>
      <c r="DU77" s="5">
        <v>36856000000</v>
      </c>
      <c r="DV77" s="5">
        <v>412430000000</v>
      </c>
      <c r="DW77" s="5">
        <v>24045000000</v>
      </c>
      <c r="DX77" s="5">
        <v>277120000000</v>
      </c>
      <c r="DY77" s="5">
        <v>17154000000</v>
      </c>
      <c r="DZ77" s="5">
        <v>172290000000</v>
      </c>
      <c r="EA77" s="5">
        <v>12801000000</v>
      </c>
      <c r="EB77" s="5">
        <v>75493000000</v>
      </c>
      <c r="EC77" s="5">
        <v>6507500000</v>
      </c>
      <c r="ED77" s="5">
        <v>44636000000</v>
      </c>
      <c r="EE77" s="5">
        <v>4258300000</v>
      </c>
      <c r="EF77" s="5">
        <v>13978000000</v>
      </c>
      <c r="EG77" s="5">
        <v>1726300000</v>
      </c>
      <c r="EH77" s="5">
        <v>7881100000</v>
      </c>
      <c r="EI77" s="5">
        <v>2263400000</v>
      </c>
      <c r="EJ77" s="5">
        <v>3099200000</v>
      </c>
      <c r="EK77" s="5">
        <v>724590000</v>
      </c>
      <c r="EL77" s="5">
        <v>792290000</v>
      </c>
      <c r="EM77" s="5">
        <v>286410000</v>
      </c>
      <c r="EN77" s="5">
        <v>963630000</v>
      </c>
      <c r="EO77" s="5">
        <v>649000000</v>
      </c>
      <c r="EP77" s="5">
        <v>306.68</v>
      </c>
      <c r="EQ77" s="5">
        <v>186.83</v>
      </c>
    </row>
    <row r="78" spans="1:147">
      <c r="A78" s="5"/>
      <c r="B78" s="5"/>
      <c r="C78" s="5"/>
      <c r="D78" s="5"/>
      <c r="E78" s="5">
        <v>0</v>
      </c>
      <c r="F78" s="5">
        <v>66534000000000</v>
      </c>
      <c r="G78" s="5">
        <v>66534000000000</v>
      </c>
      <c r="H78" s="5">
        <v>0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 s="5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33357000000000</v>
      </c>
      <c r="W78" s="5">
        <v>33357000000000</v>
      </c>
      <c r="X78" s="5">
        <v>161310000000000</v>
      </c>
      <c r="Y78" s="5">
        <v>152790000000000</v>
      </c>
      <c r="Z78" s="5">
        <v>3432300000000</v>
      </c>
      <c r="AA78" s="5">
        <v>3432300000000</v>
      </c>
      <c r="AB78" s="5">
        <v>50380000000000</v>
      </c>
      <c r="AC78" s="5">
        <v>29573000000000</v>
      </c>
      <c r="AD78" s="5">
        <v>39618000000000</v>
      </c>
      <c r="AE78" s="5">
        <v>10836000000000</v>
      </c>
      <c r="AF78" s="5">
        <v>144870000000000</v>
      </c>
      <c r="AG78" s="5">
        <v>68930000000000</v>
      </c>
      <c r="AH78" s="5">
        <v>446860000000000</v>
      </c>
      <c r="AI78" s="5">
        <v>226960000000000</v>
      </c>
      <c r="AJ78" s="5">
        <v>309810000000000</v>
      </c>
      <c r="AK78" s="5">
        <v>105400000000000</v>
      </c>
      <c r="AL78" s="5">
        <v>467390000000000</v>
      </c>
      <c r="AM78" s="5">
        <v>112780000000000</v>
      </c>
      <c r="AN78" s="5">
        <v>726800000000000</v>
      </c>
      <c r="AO78" s="5">
        <v>121380000000000</v>
      </c>
      <c r="AP78" s="5">
        <v>1113900000000000</v>
      </c>
      <c r="AQ78" s="5">
        <v>185900000000000</v>
      </c>
      <c r="AR78" s="5">
        <v>2131800000000000</v>
      </c>
      <c r="AS78" s="5">
        <v>240040000000000</v>
      </c>
      <c r="AT78" s="5">
        <v>2240900000000000</v>
      </c>
      <c r="AU78" s="5">
        <v>212660000000000</v>
      </c>
      <c r="AV78" s="5">
        <v>2676000000000000</v>
      </c>
      <c r="AW78" s="5">
        <v>207120000000000</v>
      </c>
      <c r="AX78" s="5">
        <v>3090600000000000</v>
      </c>
      <c r="AY78" s="5">
        <v>189150000000000</v>
      </c>
      <c r="AZ78" s="5">
        <v>3805000000000000</v>
      </c>
      <c r="BA78" s="5">
        <v>194060000000000</v>
      </c>
      <c r="BB78" s="5">
        <v>4519900000000000</v>
      </c>
      <c r="BC78" s="5">
        <v>221470000000000</v>
      </c>
      <c r="BD78" s="5">
        <v>4661800000000000</v>
      </c>
      <c r="BE78" s="5">
        <v>193000000000000</v>
      </c>
      <c r="BF78" s="5">
        <v>4887700000000000</v>
      </c>
      <c r="BG78" s="5">
        <v>172050000000000</v>
      </c>
      <c r="BH78" s="5">
        <v>5498000000000000</v>
      </c>
      <c r="BI78" s="5">
        <v>179790000000000</v>
      </c>
      <c r="BJ78" s="5">
        <v>5128700000000000</v>
      </c>
      <c r="BK78" s="5">
        <v>155400000000000</v>
      </c>
      <c r="BL78" s="5">
        <v>5389800000000000</v>
      </c>
      <c r="BM78" s="5">
        <v>157380000000000</v>
      </c>
      <c r="BN78" s="5">
        <v>5264200000000000</v>
      </c>
      <c r="BO78" s="5">
        <v>140030000000000</v>
      </c>
      <c r="BP78" s="5">
        <v>5184900000000000</v>
      </c>
      <c r="BQ78" s="5">
        <v>138960000000000</v>
      </c>
      <c r="BR78" s="5">
        <v>4426000000000000</v>
      </c>
      <c r="BS78" s="5">
        <v>119940000000000</v>
      </c>
      <c r="BT78" s="5">
        <v>3389800000000000</v>
      </c>
      <c r="BU78" s="5">
        <v>95594000000000</v>
      </c>
      <c r="BV78" s="5">
        <v>2630400000000000</v>
      </c>
      <c r="BW78" s="5">
        <v>73388000000000</v>
      </c>
      <c r="BX78" s="5">
        <v>1960200000000000</v>
      </c>
      <c r="BY78" s="5">
        <v>53120000000000</v>
      </c>
      <c r="BZ78" s="5">
        <v>1491000000000000</v>
      </c>
      <c r="CA78" s="5">
        <v>51439000000000</v>
      </c>
      <c r="CB78" s="5">
        <v>991340000000000</v>
      </c>
      <c r="CC78" s="5">
        <v>34400000000000</v>
      </c>
      <c r="CD78" s="5">
        <v>681590000000000</v>
      </c>
      <c r="CE78" s="5">
        <v>16358000000000</v>
      </c>
      <c r="CF78" s="5">
        <v>468690000000000</v>
      </c>
      <c r="CG78" s="5">
        <v>11670000000000</v>
      </c>
      <c r="CH78" s="5">
        <v>307800000000000</v>
      </c>
      <c r="CI78" s="5">
        <v>8649200000000</v>
      </c>
      <c r="CJ78" s="5">
        <v>204590000000000</v>
      </c>
      <c r="CK78" s="5">
        <v>5790000000000</v>
      </c>
      <c r="CL78" s="5">
        <v>142600000000000</v>
      </c>
      <c r="CM78" s="5">
        <v>4249600000000</v>
      </c>
      <c r="CN78" s="5">
        <v>97867000000000</v>
      </c>
      <c r="CO78" s="5">
        <v>3229600000000</v>
      </c>
      <c r="CP78" s="5">
        <v>70602000000000</v>
      </c>
      <c r="CQ78" s="5">
        <v>2372200000000</v>
      </c>
      <c r="CR78" s="5">
        <v>49599000000000</v>
      </c>
      <c r="CS78" s="5">
        <v>1879800000000</v>
      </c>
      <c r="CT78" s="5">
        <v>34970000000000</v>
      </c>
      <c r="CU78" s="5">
        <v>1346300000000</v>
      </c>
      <c r="CV78" s="5">
        <v>26502000000000</v>
      </c>
      <c r="CW78" s="5">
        <v>1089200000000</v>
      </c>
      <c r="CX78" s="5">
        <v>21240000000000</v>
      </c>
      <c r="CY78" s="5">
        <v>771030000000</v>
      </c>
      <c r="CZ78" s="5">
        <v>15742000000000</v>
      </c>
      <c r="DA78" s="5">
        <v>565150000000</v>
      </c>
      <c r="DB78" s="5">
        <v>11217000000000</v>
      </c>
      <c r="DC78" s="5">
        <v>445300000000</v>
      </c>
      <c r="DD78" s="5">
        <v>6964500000000</v>
      </c>
      <c r="DE78" s="5">
        <v>293200000000</v>
      </c>
      <c r="DF78" s="5">
        <v>6042800000000</v>
      </c>
      <c r="DG78" s="5">
        <v>235070000000</v>
      </c>
      <c r="DH78" s="5">
        <v>3798100000000</v>
      </c>
      <c r="DI78" s="5">
        <v>177370000000</v>
      </c>
      <c r="DJ78" s="5">
        <v>2885800000000</v>
      </c>
      <c r="DK78" s="5">
        <v>130730000000</v>
      </c>
      <c r="DL78" s="5">
        <v>1825400000000</v>
      </c>
      <c r="DM78" s="5">
        <v>90174000000</v>
      </c>
      <c r="DN78" s="5">
        <v>1478700000000</v>
      </c>
      <c r="DO78" s="5">
        <v>79408000000</v>
      </c>
      <c r="DP78" s="5">
        <v>1018700000000</v>
      </c>
      <c r="DQ78" s="5">
        <v>52565000000</v>
      </c>
      <c r="DR78" s="5">
        <v>692590000000</v>
      </c>
      <c r="DS78" s="5">
        <v>45019000000</v>
      </c>
      <c r="DT78" s="5">
        <v>455470000000</v>
      </c>
      <c r="DU78" s="5">
        <v>24322000000</v>
      </c>
      <c r="DV78" s="5">
        <v>268590000000</v>
      </c>
      <c r="DW78" s="5">
        <v>17969000000</v>
      </c>
      <c r="DX78" s="5">
        <v>172240000000</v>
      </c>
      <c r="DY78" s="5">
        <v>16863000000</v>
      </c>
      <c r="DZ78" s="5">
        <v>92049000000</v>
      </c>
      <c r="EA78" s="5">
        <v>10448000000</v>
      </c>
      <c r="EB78" s="5">
        <v>51960000000</v>
      </c>
      <c r="EC78" s="5">
        <v>10200000000</v>
      </c>
      <c r="ED78" s="5">
        <v>15407000000</v>
      </c>
      <c r="EE78" s="5">
        <v>2101500000</v>
      </c>
      <c r="EF78" s="5">
        <v>7055900000</v>
      </c>
      <c r="EG78" s="5">
        <v>1906500000</v>
      </c>
      <c r="EH78" s="5">
        <v>1725900000</v>
      </c>
      <c r="EI78" s="5">
        <v>469610000</v>
      </c>
      <c r="EJ78" s="5">
        <v>381600000</v>
      </c>
      <c r="EK78" s="5">
        <v>161030000</v>
      </c>
      <c r="EL78" s="5">
        <v>485200000</v>
      </c>
      <c r="EM78" s="5">
        <v>382480000</v>
      </c>
      <c r="EN78" s="5">
        <v>107510000</v>
      </c>
      <c r="EO78" s="5">
        <v>78011000</v>
      </c>
      <c r="EP78" s="5">
        <v>0</v>
      </c>
      <c r="EQ78" s="5">
        <v>0</v>
      </c>
    </row>
    <row r="79" spans="1:147">
      <c r="A79" s="5"/>
      <c r="B79" s="5"/>
      <c r="C79" s="5"/>
      <c r="D79" s="5"/>
      <c r="E79" s="5">
        <v>0</v>
      </c>
      <c r="F79" s="5">
        <v>0</v>
      </c>
      <c r="G79" s="5">
        <v>0</v>
      </c>
      <c r="H79" s="5">
        <v>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27906000000000</v>
      </c>
      <c r="S79" s="5">
        <v>27906000000000</v>
      </c>
      <c r="T79" s="5">
        <v>12206000000000</v>
      </c>
      <c r="U79" s="5">
        <v>8631100000000</v>
      </c>
      <c r="V79" s="5">
        <v>79361000000000</v>
      </c>
      <c r="W79" s="5">
        <v>51616000000000</v>
      </c>
      <c r="X79" s="5">
        <v>26806000000000</v>
      </c>
      <c r="Y79" s="5">
        <v>11240000000000</v>
      </c>
      <c r="Z79" s="5">
        <v>134310000000000</v>
      </c>
      <c r="AA79" s="5">
        <v>116190000000000</v>
      </c>
      <c r="AB79" s="5">
        <v>44704000000000</v>
      </c>
      <c r="AC79" s="5">
        <v>13577000000000</v>
      </c>
      <c r="AD79" s="5">
        <v>61947000000000</v>
      </c>
      <c r="AE79" s="5">
        <v>12612000000000</v>
      </c>
      <c r="AF79" s="5">
        <v>312190000000000</v>
      </c>
      <c r="AG79" s="5">
        <v>121540000000000</v>
      </c>
      <c r="AH79" s="5">
        <v>452620000000000</v>
      </c>
      <c r="AI79" s="5">
        <v>128320000000000</v>
      </c>
      <c r="AJ79" s="5">
        <v>558160000000000</v>
      </c>
      <c r="AK79" s="5">
        <v>120510000000000</v>
      </c>
      <c r="AL79" s="5">
        <v>592590000000000</v>
      </c>
      <c r="AM79" s="5">
        <v>116980000000000</v>
      </c>
      <c r="AN79" s="5">
        <v>1050000000000000</v>
      </c>
      <c r="AO79" s="5">
        <v>143120000000000</v>
      </c>
      <c r="AP79" s="5">
        <v>1395100000000000</v>
      </c>
      <c r="AQ79" s="5">
        <v>147880000000000</v>
      </c>
      <c r="AR79" s="5">
        <v>2179800000000000</v>
      </c>
      <c r="AS79" s="5">
        <v>209700000000000</v>
      </c>
      <c r="AT79" s="5">
        <v>2945900000000000</v>
      </c>
      <c r="AU79" s="5">
        <v>228300000000000</v>
      </c>
      <c r="AV79" s="5">
        <v>3237300000000000</v>
      </c>
      <c r="AW79" s="5">
        <v>195850000000000</v>
      </c>
      <c r="AX79" s="5">
        <v>4284800000000000</v>
      </c>
      <c r="AY79" s="5">
        <v>218530000000000</v>
      </c>
      <c r="AZ79" s="5">
        <v>5142600000000000</v>
      </c>
      <c r="BA79" s="5">
        <v>229870000000000</v>
      </c>
      <c r="BB79" s="5">
        <v>5551200000000000</v>
      </c>
      <c r="BC79" s="5">
        <v>209840000000000</v>
      </c>
      <c r="BD79" s="5">
        <v>6382000000000000</v>
      </c>
      <c r="BE79" s="5">
        <v>215070000000000</v>
      </c>
      <c r="BF79" s="5">
        <v>5832200000000000</v>
      </c>
      <c r="BG79" s="5">
        <v>170880000000000</v>
      </c>
      <c r="BH79" s="5">
        <v>5939700000000000</v>
      </c>
      <c r="BI79" s="5">
        <v>169280000000000</v>
      </c>
      <c r="BJ79" s="5">
        <v>5779400000000000</v>
      </c>
      <c r="BK79" s="5">
        <v>154890000000000</v>
      </c>
      <c r="BL79" s="5">
        <v>5596800000000000</v>
      </c>
      <c r="BM79" s="5">
        <v>142160000000000</v>
      </c>
      <c r="BN79" s="5">
        <v>5550800000000000</v>
      </c>
      <c r="BO79" s="5">
        <v>138220000000000</v>
      </c>
      <c r="BP79" s="5">
        <v>5041400000000000</v>
      </c>
      <c r="BQ79" s="5">
        <v>124520000000000</v>
      </c>
      <c r="BR79" s="5">
        <v>4246000000000000</v>
      </c>
      <c r="BS79" s="5">
        <v>123560000000000</v>
      </c>
      <c r="BT79" s="5">
        <v>2898500000000000</v>
      </c>
      <c r="BU79" s="5">
        <v>76231000000000</v>
      </c>
      <c r="BV79" s="5">
        <v>2042400000000000</v>
      </c>
      <c r="BW79" s="5">
        <v>56780000000000</v>
      </c>
      <c r="BX79" s="5">
        <v>1620700000000000</v>
      </c>
      <c r="BY79" s="5">
        <v>53320000000000</v>
      </c>
      <c r="BZ79" s="5">
        <v>1055700000000000</v>
      </c>
      <c r="CA79" s="5">
        <v>33360000000000</v>
      </c>
      <c r="CB79" s="5">
        <v>650020000000000</v>
      </c>
      <c r="CC79" s="5">
        <v>20541000000000</v>
      </c>
      <c r="CD79" s="5">
        <v>464440000000000</v>
      </c>
      <c r="CE79" s="5">
        <v>12633000000000</v>
      </c>
      <c r="CF79" s="5">
        <v>326060000000000</v>
      </c>
      <c r="CG79" s="5">
        <v>9064500000000</v>
      </c>
      <c r="CH79" s="5">
        <v>217960000000000</v>
      </c>
      <c r="CI79" s="5">
        <v>6233800000000</v>
      </c>
      <c r="CJ79" s="5">
        <v>143800000000000</v>
      </c>
      <c r="CK79" s="5">
        <v>5090500000000</v>
      </c>
      <c r="CL79" s="5">
        <v>103890000000000</v>
      </c>
      <c r="CM79" s="5">
        <v>3417900000000</v>
      </c>
      <c r="CN79" s="5">
        <v>80702000000000</v>
      </c>
      <c r="CO79" s="5">
        <v>2848800000000</v>
      </c>
      <c r="CP79" s="5">
        <v>51415000000000</v>
      </c>
      <c r="CQ79" s="5">
        <v>1907500000000</v>
      </c>
      <c r="CR79" s="5">
        <v>38182000000000</v>
      </c>
      <c r="CS79" s="5">
        <v>1515800000000</v>
      </c>
      <c r="CT79" s="5">
        <v>25734000000000</v>
      </c>
      <c r="CU79" s="5">
        <v>1098800000000</v>
      </c>
      <c r="CV79" s="5">
        <v>20768000000000</v>
      </c>
      <c r="CW79" s="5">
        <v>793330000000</v>
      </c>
      <c r="CX79" s="5">
        <v>15706000000000</v>
      </c>
      <c r="CY79" s="5">
        <v>631380000000</v>
      </c>
      <c r="CZ79" s="5">
        <v>12148000000000</v>
      </c>
      <c r="DA79" s="5">
        <v>468910000000</v>
      </c>
      <c r="DB79" s="5">
        <v>8755200000000</v>
      </c>
      <c r="DC79" s="5">
        <v>362460000000</v>
      </c>
      <c r="DD79" s="5">
        <v>5872900000000</v>
      </c>
      <c r="DE79" s="5">
        <v>259580000000</v>
      </c>
      <c r="DF79" s="5">
        <v>4551000000000</v>
      </c>
      <c r="DG79" s="5">
        <v>187050000000</v>
      </c>
      <c r="DH79" s="5">
        <v>3143300000000</v>
      </c>
      <c r="DI79" s="5">
        <v>140820000000</v>
      </c>
      <c r="DJ79" s="5">
        <v>2096000000000</v>
      </c>
      <c r="DK79" s="5">
        <v>98721000000</v>
      </c>
      <c r="DL79" s="5">
        <v>1478700000000</v>
      </c>
      <c r="DM79" s="5">
        <v>66986000000</v>
      </c>
      <c r="DN79" s="5">
        <v>1021800000000</v>
      </c>
      <c r="DO79" s="5">
        <v>51191000000</v>
      </c>
      <c r="DP79" s="5">
        <v>707360000000</v>
      </c>
      <c r="DQ79" s="5">
        <v>39188000000</v>
      </c>
      <c r="DR79" s="5">
        <v>476410000000</v>
      </c>
      <c r="DS79" s="5">
        <v>30014000000</v>
      </c>
      <c r="DT79" s="5">
        <v>293890000000</v>
      </c>
      <c r="DU79" s="5">
        <v>17104000000</v>
      </c>
      <c r="DV79" s="5">
        <v>157100000000</v>
      </c>
      <c r="DW79" s="5">
        <v>10588000000</v>
      </c>
      <c r="DX79" s="5">
        <v>95832000000</v>
      </c>
      <c r="DY79" s="5">
        <v>8557800000</v>
      </c>
      <c r="DZ79" s="5">
        <v>37152000000</v>
      </c>
      <c r="EA79" s="5">
        <v>3771000000</v>
      </c>
      <c r="EB79" s="5">
        <v>15240000000</v>
      </c>
      <c r="EC79" s="5">
        <v>2127500000</v>
      </c>
      <c r="ED79" s="5">
        <v>5851500000</v>
      </c>
      <c r="EE79" s="5">
        <v>1115900000</v>
      </c>
      <c r="EF79" s="5">
        <v>2956500000</v>
      </c>
      <c r="EG79" s="5">
        <v>794990000</v>
      </c>
      <c r="EH79" s="5">
        <v>492290000</v>
      </c>
      <c r="EI79" s="5">
        <v>205980000</v>
      </c>
      <c r="EJ79" s="5">
        <v>245400000</v>
      </c>
      <c r="EK79" s="5">
        <v>144370000</v>
      </c>
      <c r="EL79" s="5">
        <v>53231000</v>
      </c>
      <c r="EM79" s="5">
        <v>37310000</v>
      </c>
      <c r="EN79" s="5">
        <v>0</v>
      </c>
      <c r="EO79" s="5">
        <v>0</v>
      </c>
      <c r="EP79" s="5">
        <v>205.62</v>
      </c>
      <c r="EQ79" s="5">
        <v>205.62</v>
      </c>
    </row>
    <row r="80" spans="1:147">
      <c r="A80" s="5"/>
      <c r="B80" s="5"/>
      <c r="C80" s="5"/>
      <c r="D80" s="5"/>
      <c r="E80" s="5">
        <v>0</v>
      </c>
      <c r="F80" s="5">
        <v>0</v>
      </c>
      <c r="G80" s="5">
        <v>0</v>
      </c>
      <c r="H80" s="5">
        <v>0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 s="5">
        <v>183990000000000</v>
      </c>
      <c r="O80" s="5">
        <v>183990000000000</v>
      </c>
      <c r="P80" s="5">
        <v>8611700000000</v>
      </c>
      <c r="Q80" s="5">
        <v>8611700000000</v>
      </c>
      <c r="R80" s="5">
        <v>13691000000000</v>
      </c>
      <c r="S80" s="5">
        <v>9681100000000</v>
      </c>
      <c r="T80" s="5">
        <v>21773000000000</v>
      </c>
      <c r="U80" s="5">
        <v>10887000000000</v>
      </c>
      <c r="V80" s="5">
        <v>156460000000000</v>
      </c>
      <c r="W80" s="5">
        <v>156460000000000</v>
      </c>
      <c r="X80" s="5">
        <v>13729000000000</v>
      </c>
      <c r="Y80" s="5">
        <v>6864400000000</v>
      </c>
      <c r="Z80" s="5">
        <v>132690000000000</v>
      </c>
      <c r="AA80" s="5">
        <v>102410000000000</v>
      </c>
      <c r="AB80" s="5">
        <v>318420000000000</v>
      </c>
      <c r="AC80" s="5">
        <v>144750000000000</v>
      </c>
      <c r="AD80" s="5">
        <v>218610000000000</v>
      </c>
      <c r="AE80" s="5">
        <v>109770000000000</v>
      </c>
      <c r="AF80" s="5">
        <v>200290000000000</v>
      </c>
      <c r="AG80" s="5">
        <v>72483000000000</v>
      </c>
      <c r="AH80" s="5">
        <v>321170000000000</v>
      </c>
      <c r="AI80" s="5">
        <v>83023000000000</v>
      </c>
      <c r="AJ80" s="5">
        <v>908070000000000</v>
      </c>
      <c r="AK80" s="5">
        <v>156820000000000</v>
      </c>
      <c r="AL80" s="5">
        <v>1100200000000000</v>
      </c>
      <c r="AM80" s="5">
        <v>155130000000000</v>
      </c>
      <c r="AN80" s="5">
        <v>1477800000000000</v>
      </c>
      <c r="AO80" s="5">
        <v>166690000000000</v>
      </c>
      <c r="AP80" s="5">
        <v>2294600000000000</v>
      </c>
      <c r="AQ80" s="5">
        <v>229460000000000</v>
      </c>
      <c r="AR80" s="5">
        <v>2939300000000000</v>
      </c>
      <c r="AS80" s="5">
        <v>214570000000000</v>
      </c>
      <c r="AT80" s="5">
        <v>3889300000000000</v>
      </c>
      <c r="AU80" s="5">
        <v>227140000000000</v>
      </c>
      <c r="AV80" s="5">
        <v>4564700000000000</v>
      </c>
      <c r="AW80" s="5">
        <v>226870000000000</v>
      </c>
      <c r="AX80" s="5">
        <v>5662200000000000</v>
      </c>
      <c r="AY80" s="5">
        <v>249700000000000</v>
      </c>
      <c r="AZ80" s="5">
        <v>6289100000000000</v>
      </c>
      <c r="BA80" s="5">
        <v>232070000000000</v>
      </c>
      <c r="BB80" s="5">
        <v>6920600000000000</v>
      </c>
      <c r="BC80" s="5">
        <v>225610000000000</v>
      </c>
      <c r="BD80" s="5">
        <v>6840200000000000</v>
      </c>
      <c r="BE80" s="5">
        <v>199050000000000</v>
      </c>
      <c r="BF80" s="5">
        <v>6890100000000000</v>
      </c>
      <c r="BG80" s="5">
        <v>187410000000000</v>
      </c>
      <c r="BH80" s="5">
        <v>6097200000000000</v>
      </c>
      <c r="BI80" s="5">
        <v>148160000000000</v>
      </c>
      <c r="BJ80" s="5">
        <v>5618400000000000</v>
      </c>
      <c r="BK80" s="5">
        <v>138210000000000</v>
      </c>
      <c r="BL80" s="5">
        <v>5381100000000000</v>
      </c>
      <c r="BM80" s="5">
        <v>127530000000000</v>
      </c>
      <c r="BN80" s="5">
        <v>4968600000000000</v>
      </c>
      <c r="BO80" s="5">
        <v>117260000000000</v>
      </c>
      <c r="BP80" s="5">
        <v>4410500000000000</v>
      </c>
      <c r="BQ80" s="5">
        <v>112030000000000</v>
      </c>
      <c r="BR80" s="5">
        <v>3438100000000000</v>
      </c>
      <c r="BS80" s="5">
        <v>84921000000000</v>
      </c>
      <c r="BT80" s="5">
        <v>2322700000000000</v>
      </c>
      <c r="BU80" s="5">
        <v>62480000000000</v>
      </c>
      <c r="BV80" s="5">
        <v>1497900000000000</v>
      </c>
      <c r="BW80" s="5">
        <v>44787000000000</v>
      </c>
      <c r="BX80" s="5">
        <v>1118200000000000</v>
      </c>
      <c r="BY80" s="5">
        <v>48755000000000</v>
      </c>
      <c r="BZ80" s="5">
        <v>717790000000000</v>
      </c>
      <c r="CA80" s="5">
        <v>25338000000000</v>
      </c>
      <c r="CB80" s="5">
        <v>469760000000000</v>
      </c>
      <c r="CC80" s="5">
        <v>17052000000000</v>
      </c>
      <c r="CD80" s="5">
        <v>340890000000000</v>
      </c>
      <c r="CE80" s="5">
        <v>12545000000000</v>
      </c>
      <c r="CF80" s="5">
        <v>248270000000000</v>
      </c>
      <c r="CG80" s="5">
        <v>7621800000000</v>
      </c>
      <c r="CH80" s="5">
        <v>162890000000000</v>
      </c>
      <c r="CI80" s="5">
        <v>5652200000000</v>
      </c>
      <c r="CJ80" s="5">
        <v>103230000000000</v>
      </c>
      <c r="CK80" s="5">
        <v>3953800000000</v>
      </c>
      <c r="CL80" s="5">
        <v>80078000000000</v>
      </c>
      <c r="CM80" s="5">
        <v>3051000000000</v>
      </c>
      <c r="CN80" s="5">
        <v>61964000000000</v>
      </c>
      <c r="CO80" s="5">
        <v>2292700000000</v>
      </c>
      <c r="CP80" s="5">
        <v>39718000000000</v>
      </c>
      <c r="CQ80" s="5">
        <v>1557000000000</v>
      </c>
      <c r="CR80" s="5">
        <v>28219000000000</v>
      </c>
      <c r="CS80" s="5">
        <v>1402500000000</v>
      </c>
      <c r="CT80" s="5">
        <v>21070000000000</v>
      </c>
      <c r="CU80" s="5">
        <v>906000000000</v>
      </c>
      <c r="CV80" s="5">
        <v>16275000000000</v>
      </c>
      <c r="CW80" s="5">
        <v>675410000000</v>
      </c>
      <c r="CX80" s="5">
        <v>12849000000000</v>
      </c>
      <c r="CY80" s="5">
        <v>522960000000</v>
      </c>
      <c r="CZ80" s="5">
        <v>9490100000000</v>
      </c>
      <c r="DA80" s="5">
        <v>388140000000</v>
      </c>
      <c r="DB80" s="5">
        <v>6583100000000</v>
      </c>
      <c r="DC80" s="5">
        <v>282410000000</v>
      </c>
      <c r="DD80" s="5">
        <v>4156500000000</v>
      </c>
      <c r="DE80" s="5">
        <v>194940000000</v>
      </c>
      <c r="DF80" s="5">
        <v>3308600000000</v>
      </c>
      <c r="DG80" s="5">
        <v>147230000000</v>
      </c>
      <c r="DH80" s="5">
        <v>2281100000000</v>
      </c>
      <c r="DI80" s="5">
        <v>107890000000</v>
      </c>
      <c r="DJ80" s="5">
        <v>1580400000000</v>
      </c>
      <c r="DK80" s="5">
        <v>76176000000</v>
      </c>
      <c r="DL80" s="5">
        <v>903780000000</v>
      </c>
      <c r="DM80" s="5">
        <v>47991000000</v>
      </c>
      <c r="DN80" s="5">
        <v>667130000000</v>
      </c>
      <c r="DO80" s="5">
        <v>48767000000</v>
      </c>
      <c r="DP80" s="5">
        <v>456640000000</v>
      </c>
      <c r="DQ80" s="5">
        <v>29545000000</v>
      </c>
      <c r="DR80" s="5">
        <v>285840000000</v>
      </c>
      <c r="DS80" s="5">
        <v>17865000000</v>
      </c>
      <c r="DT80" s="5">
        <v>178380000000</v>
      </c>
      <c r="DU80" s="5">
        <v>13307000000</v>
      </c>
      <c r="DV80" s="5">
        <v>95000000000</v>
      </c>
      <c r="DW80" s="5">
        <v>9091500000</v>
      </c>
      <c r="DX80" s="5">
        <v>53764000000</v>
      </c>
      <c r="DY80" s="5">
        <v>6935600000</v>
      </c>
      <c r="DZ80" s="5">
        <v>16708000000</v>
      </c>
      <c r="EA80" s="5">
        <v>2573000000</v>
      </c>
      <c r="EB80" s="5">
        <v>5819000000</v>
      </c>
      <c r="EC80" s="5">
        <v>1337200000</v>
      </c>
      <c r="ED80" s="5">
        <v>1915700000</v>
      </c>
      <c r="EE80" s="5">
        <v>908430000</v>
      </c>
      <c r="EF80" s="5">
        <v>2858400000</v>
      </c>
      <c r="EG80" s="5">
        <v>2171200000</v>
      </c>
      <c r="EH80" s="5">
        <v>233410000</v>
      </c>
      <c r="EI80" s="5">
        <v>132500000</v>
      </c>
      <c r="EJ80" s="5">
        <v>0</v>
      </c>
      <c r="EK80" s="5">
        <v>0</v>
      </c>
      <c r="EL80" s="5">
        <v>0</v>
      </c>
      <c r="EM80" s="5">
        <v>0</v>
      </c>
      <c r="EN80" s="5">
        <v>0</v>
      </c>
      <c r="EO80" s="5">
        <v>0</v>
      </c>
      <c r="EP80" s="5">
        <v>0</v>
      </c>
      <c r="EQ80" s="5">
        <v>0</v>
      </c>
    </row>
    <row r="81" spans="1:147">
      <c r="A81" s="5"/>
      <c r="B81" s="5"/>
      <c r="C81" s="5"/>
      <c r="D81" s="5"/>
      <c r="E81" s="5">
        <v>0</v>
      </c>
      <c r="F81" s="5">
        <v>0</v>
      </c>
      <c r="G81" s="5">
        <v>0</v>
      </c>
      <c r="H81" s="5">
        <v>0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 s="5">
        <v>0</v>
      </c>
      <c r="O81" s="5">
        <v>0</v>
      </c>
      <c r="P81" s="5">
        <v>7673900000000</v>
      </c>
      <c r="Q81" s="5">
        <v>7673900000000</v>
      </c>
      <c r="R81" s="5">
        <v>12215000000000</v>
      </c>
      <c r="S81" s="5">
        <v>8637100000000</v>
      </c>
      <c r="T81" s="5">
        <v>34558000000000</v>
      </c>
      <c r="U81" s="5">
        <v>21689000000000</v>
      </c>
      <c r="V81" s="5">
        <v>19272000000000</v>
      </c>
      <c r="W81" s="5">
        <v>8618600000000</v>
      </c>
      <c r="X81" s="5">
        <v>241940000000000</v>
      </c>
      <c r="Y81" s="5">
        <v>156270000000000</v>
      </c>
      <c r="Z81" s="5">
        <v>236620000000000</v>
      </c>
      <c r="AA81" s="5">
        <v>129760000000000</v>
      </c>
      <c r="AB81" s="5">
        <v>97260000000000</v>
      </c>
      <c r="AC81" s="5">
        <v>44243000000000</v>
      </c>
      <c r="AD81" s="5">
        <v>297050000000000</v>
      </c>
      <c r="AE81" s="5">
        <v>107030000000000</v>
      </c>
      <c r="AF81" s="5">
        <v>509430000000000</v>
      </c>
      <c r="AG81" s="5">
        <v>116660000000000</v>
      </c>
      <c r="AH81" s="5">
        <v>941170000000000</v>
      </c>
      <c r="AI81" s="5">
        <v>168190000000000</v>
      </c>
      <c r="AJ81" s="5">
        <v>1211700000000000</v>
      </c>
      <c r="AK81" s="5">
        <v>197020000000000</v>
      </c>
      <c r="AL81" s="5">
        <v>1314200000000000</v>
      </c>
      <c r="AM81" s="5">
        <v>153490000000000</v>
      </c>
      <c r="AN81" s="5">
        <v>2267000000000000</v>
      </c>
      <c r="AO81" s="5">
        <v>199720000000000</v>
      </c>
      <c r="AP81" s="5">
        <v>2622200000000000</v>
      </c>
      <c r="AQ81" s="5">
        <v>216070000000000</v>
      </c>
      <c r="AR81" s="5">
        <v>4068000000000000</v>
      </c>
      <c r="AS81" s="5">
        <v>231880000000000</v>
      </c>
      <c r="AT81" s="5">
        <v>5461500000000000</v>
      </c>
      <c r="AU81" s="5">
        <v>261610000000000</v>
      </c>
      <c r="AV81" s="5">
        <v>6030400000000000</v>
      </c>
      <c r="AW81" s="5">
        <v>247850000000000</v>
      </c>
      <c r="AX81" s="5">
        <v>7137100000000000</v>
      </c>
      <c r="AY81" s="5">
        <v>266930000000000</v>
      </c>
      <c r="AZ81" s="5">
        <v>8222200000000000</v>
      </c>
      <c r="BA81" s="5">
        <v>254890000000000</v>
      </c>
      <c r="BB81" s="5">
        <v>7986000000000000</v>
      </c>
      <c r="BC81" s="5">
        <v>222810000000000</v>
      </c>
      <c r="BD81" s="5">
        <v>7966600000000000</v>
      </c>
      <c r="BE81" s="5">
        <v>206340000000000</v>
      </c>
      <c r="BF81" s="5">
        <v>7127700000000000</v>
      </c>
      <c r="BG81" s="5">
        <v>173200000000000</v>
      </c>
      <c r="BH81" s="5">
        <v>6287800000000000</v>
      </c>
      <c r="BI81" s="5">
        <v>142730000000000</v>
      </c>
      <c r="BJ81" s="5">
        <v>5760100000000000</v>
      </c>
      <c r="BK81" s="5">
        <v>131330000000000</v>
      </c>
      <c r="BL81" s="5">
        <v>5072300000000000</v>
      </c>
      <c r="BM81" s="5">
        <v>115650000000000</v>
      </c>
      <c r="BN81" s="5">
        <v>4431500000000000</v>
      </c>
      <c r="BO81" s="5">
        <v>98823000000000</v>
      </c>
      <c r="BP81" s="5">
        <v>3902700000000000</v>
      </c>
      <c r="BQ81" s="5">
        <v>99519000000000</v>
      </c>
      <c r="BR81" s="5">
        <v>2667000000000000</v>
      </c>
      <c r="BS81" s="5">
        <v>73609000000000</v>
      </c>
      <c r="BT81" s="5">
        <v>1809000000000000</v>
      </c>
      <c r="BU81" s="5">
        <v>52279000000000</v>
      </c>
      <c r="BV81" s="5">
        <v>1142100000000000</v>
      </c>
      <c r="BW81" s="5">
        <v>42028000000000</v>
      </c>
      <c r="BX81" s="5">
        <v>715380000000000</v>
      </c>
      <c r="BY81" s="5">
        <v>25825000000000</v>
      </c>
      <c r="BZ81" s="5">
        <v>488710000000000</v>
      </c>
      <c r="CA81" s="5">
        <v>18718000000000</v>
      </c>
      <c r="CB81" s="5">
        <v>325450000000000</v>
      </c>
      <c r="CC81" s="5">
        <v>13148000000000</v>
      </c>
      <c r="CD81" s="5">
        <v>231690000000000</v>
      </c>
      <c r="CE81" s="5">
        <v>9337000000000</v>
      </c>
      <c r="CF81" s="5">
        <v>172720000000000</v>
      </c>
      <c r="CG81" s="5">
        <v>5941700000000</v>
      </c>
      <c r="CH81" s="5">
        <v>111570000000000</v>
      </c>
      <c r="CI81" s="5">
        <v>4105800000000</v>
      </c>
      <c r="CJ81" s="5">
        <v>82338000000000</v>
      </c>
      <c r="CK81" s="5">
        <v>3417000000000</v>
      </c>
      <c r="CL81" s="5">
        <v>60290000000000</v>
      </c>
      <c r="CM81" s="5">
        <v>2508100000000</v>
      </c>
      <c r="CN81" s="5">
        <v>44301000000000</v>
      </c>
      <c r="CO81" s="5">
        <v>1825200000000</v>
      </c>
      <c r="CP81" s="5">
        <v>30602000000000</v>
      </c>
      <c r="CQ81" s="5">
        <v>1211900000000</v>
      </c>
      <c r="CR81" s="5">
        <v>20346000000000</v>
      </c>
      <c r="CS81" s="5">
        <v>1037600000000</v>
      </c>
      <c r="CT81" s="5">
        <v>14735000000000</v>
      </c>
      <c r="CU81" s="5">
        <v>685190000000</v>
      </c>
      <c r="CV81" s="5">
        <v>12748000000000</v>
      </c>
      <c r="CW81" s="5">
        <v>541790000000</v>
      </c>
      <c r="CX81" s="5">
        <v>8633900000000</v>
      </c>
      <c r="CY81" s="5">
        <v>372120000000</v>
      </c>
      <c r="CZ81" s="5">
        <v>7566500000000</v>
      </c>
      <c r="DA81" s="5">
        <v>400270000000</v>
      </c>
      <c r="DB81" s="5">
        <v>4685600000000</v>
      </c>
      <c r="DC81" s="5">
        <v>226780000000</v>
      </c>
      <c r="DD81" s="5">
        <v>3425600000000</v>
      </c>
      <c r="DE81" s="5">
        <v>170600000000</v>
      </c>
      <c r="DF81" s="5">
        <v>2820200000000</v>
      </c>
      <c r="DG81" s="5">
        <v>131420000000</v>
      </c>
      <c r="DH81" s="5">
        <v>1558800000000</v>
      </c>
      <c r="DI81" s="5">
        <v>90722000000</v>
      </c>
      <c r="DJ81" s="5">
        <v>1140300000000</v>
      </c>
      <c r="DK81" s="5">
        <v>63286000000</v>
      </c>
      <c r="DL81" s="5">
        <v>655530000000</v>
      </c>
      <c r="DM81" s="5">
        <v>40840000000</v>
      </c>
      <c r="DN81" s="5">
        <v>458870000000</v>
      </c>
      <c r="DO81" s="5">
        <v>28771000000</v>
      </c>
      <c r="DP81" s="5">
        <v>309800000000</v>
      </c>
      <c r="DQ81" s="5">
        <v>23142000000</v>
      </c>
      <c r="DR81" s="5">
        <v>175750000000</v>
      </c>
      <c r="DS81" s="5">
        <v>21055000000</v>
      </c>
      <c r="DT81" s="5">
        <v>97964000000</v>
      </c>
      <c r="DU81" s="5">
        <v>9492700000</v>
      </c>
      <c r="DV81" s="5">
        <v>35900000000</v>
      </c>
      <c r="DW81" s="5">
        <v>4182400000</v>
      </c>
      <c r="DX81" s="5">
        <v>21309000000</v>
      </c>
      <c r="DY81" s="5">
        <v>3138800000</v>
      </c>
      <c r="DZ81" s="5">
        <v>6605000000</v>
      </c>
      <c r="EA81" s="5">
        <v>1762900000</v>
      </c>
      <c r="EB81" s="5">
        <v>6086100000</v>
      </c>
      <c r="EC81" s="5">
        <v>3320000000</v>
      </c>
      <c r="ED81" s="5">
        <v>390940000</v>
      </c>
      <c r="EE81" s="5">
        <v>215170000</v>
      </c>
      <c r="EF81" s="5">
        <v>43602000</v>
      </c>
      <c r="EG81" s="5">
        <v>20044000</v>
      </c>
      <c r="EH81" s="5">
        <v>40314000</v>
      </c>
      <c r="EI81" s="5">
        <v>24414000</v>
      </c>
      <c r="EJ81" s="5">
        <v>23063000</v>
      </c>
      <c r="EK81" s="5">
        <v>23063000</v>
      </c>
      <c r="EL81" s="5">
        <v>0</v>
      </c>
      <c r="EM81" s="5">
        <v>0</v>
      </c>
      <c r="EN81" s="5">
        <v>0</v>
      </c>
      <c r="EO81" s="5">
        <v>0</v>
      </c>
      <c r="EP81" s="5">
        <v>0</v>
      </c>
      <c r="EQ81" s="5">
        <v>0</v>
      </c>
    </row>
    <row r="82" spans="1:147">
      <c r="A82" s="5"/>
      <c r="B82" s="5"/>
      <c r="C82" s="5"/>
      <c r="D82" s="5"/>
      <c r="E82" s="5">
        <v>0</v>
      </c>
      <c r="F82" s="5">
        <v>0</v>
      </c>
      <c r="G82" s="5">
        <v>0</v>
      </c>
      <c r="H82" s="5">
        <v>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 s="5">
        <v>0</v>
      </c>
      <c r="O82" s="5">
        <v>0</v>
      </c>
      <c r="P82" s="5">
        <v>13697000000000</v>
      </c>
      <c r="Q82" s="5">
        <v>9685200000000</v>
      </c>
      <c r="R82" s="5">
        <v>44893000000000</v>
      </c>
      <c r="S82" s="5">
        <v>30069000000000</v>
      </c>
      <c r="T82" s="5">
        <v>134160000000000</v>
      </c>
      <c r="U82" s="5">
        <v>121430000000000</v>
      </c>
      <c r="V82" s="5">
        <v>24060000000000</v>
      </c>
      <c r="W82" s="5">
        <v>9094800000000</v>
      </c>
      <c r="X82" s="5">
        <v>16374000000000</v>
      </c>
      <c r="Y82" s="5">
        <v>6684100000000</v>
      </c>
      <c r="Z82" s="5">
        <v>330250000000000</v>
      </c>
      <c r="AA82" s="5">
        <v>144020000000000</v>
      </c>
      <c r="AB82" s="5">
        <v>133070000000000</v>
      </c>
      <c r="AC82" s="5">
        <v>60788000000000</v>
      </c>
      <c r="AD82" s="5">
        <v>233160000000000</v>
      </c>
      <c r="AE82" s="5">
        <v>68736000000000</v>
      </c>
      <c r="AF82" s="5">
        <v>1161000000000000</v>
      </c>
      <c r="AG82" s="5">
        <v>201430000000000</v>
      </c>
      <c r="AH82" s="5">
        <v>1018600000000000</v>
      </c>
      <c r="AI82" s="5">
        <v>156450000000000</v>
      </c>
      <c r="AJ82" s="5">
        <v>1452700000000000</v>
      </c>
      <c r="AK82" s="5">
        <v>208470000000000</v>
      </c>
      <c r="AL82" s="5">
        <v>2158100000000000</v>
      </c>
      <c r="AM82" s="5">
        <v>206100000000000</v>
      </c>
      <c r="AN82" s="5">
        <v>3002700000000000</v>
      </c>
      <c r="AO82" s="5">
        <v>221600000000000</v>
      </c>
      <c r="AP82" s="5">
        <v>3777400000000000</v>
      </c>
      <c r="AQ82" s="5">
        <v>236840000000000</v>
      </c>
      <c r="AR82" s="5">
        <v>5809800000000000</v>
      </c>
      <c r="AS82" s="5">
        <v>277130000000000</v>
      </c>
      <c r="AT82" s="5">
        <v>6604800000000000</v>
      </c>
      <c r="AU82" s="5">
        <v>268160000000000</v>
      </c>
      <c r="AV82" s="5">
        <v>8351500000000000</v>
      </c>
      <c r="AW82" s="5">
        <v>301490000000000</v>
      </c>
      <c r="AX82" s="5">
        <v>8517000000000000</v>
      </c>
      <c r="AY82" s="5">
        <v>271690000000000</v>
      </c>
      <c r="AZ82" s="5">
        <v>9922400000000000</v>
      </c>
      <c r="BA82" s="5">
        <v>257980000000000</v>
      </c>
      <c r="BB82" s="5">
        <v>9304600000000000</v>
      </c>
      <c r="BC82" s="5">
        <v>213080000000000</v>
      </c>
      <c r="BD82" s="5">
        <v>8856700000000000</v>
      </c>
      <c r="BE82" s="5">
        <v>200160000000000</v>
      </c>
      <c r="BF82" s="5">
        <v>7501400000000000</v>
      </c>
      <c r="BG82" s="5">
        <v>162780000000000</v>
      </c>
      <c r="BH82" s="5">
        <v>6201000000000000</v>
      </c>
      <c r="BI82" s="5">
        <v>132700000000000</v>
      </c>
      <c r="BJ82" s="5">
        <v>5329900000000000</v>
      </c>
      <c r="BK82" s="5">
        <v>120990000000000</v>
      </c>
      <c r="BL82" s="5">
        <v>4455800000000000</v>
      </c>
      <c r="BM82" s="5">
        <v>100700000000000</v>
      </c>
      <c r="BN82" s="5">
        <v>3750000000000000</v>
      </c>
      <c r="BO82" s="5">
        <v>84749000000000</v>
      </c>
      <c r="BP82" s="5">
        <v>3180000000000000</v>
      </c>
      <c r="BQ82" s="5">
        <v>76321000000000</v>
      </c>
      <c r="BR82" s="5">
        <v>2003900000000000</v>
      </c>
      <c r="BS82" s="5">
        <v>51901000000000</v>
      </c>
      <c r="BT82" s="5">
        <v>1233200000000000</v>
      </c>
      <c r="BU82" s="5">
        <v>39215000000000</v>
      </c>
      <c r="BV82" s="5">
        <v>690350000000000</v>
      </c>
      <c r="BW82" s="5">
        <v>26578000000000</v>
      </c>
      <c r="BX82" s="5">
        <v>519630000000000</v>
      </c>
      <c r="BY82" s="5">
        <v>22604000000000</v>
      </c>
      <c r="BZ82" s="5">
        <v>345710000000000</v>
      </c>
      <c r="CA82" s="5">
        <v>17424000000000</v>
      </c>
      <c r="CB82" s="5">
        <v>221250000000000</v>
      </c>
      <c r="CC82" s="5">
        <v>10399000000000</v>
      </c>
      <c r="CD82" s="5">
        <v>168240000000000</v>
      </c>
      <c r="CE82" s="5">
        <v>6157600000000</v>
      </c>
      <c r="CF82" s="5">
        <v>125390000000000</v>
      </c>
      <c r="CG82" s="5">
        <v>4877700000000</v>
      </c>
      <c r="CH82" s="5">
        <v>85072000000000</v>
      </c>
      <c r="CI82" s="5">
        <v>3309300000000</v>
      </c>
      <c r="CJ82" s="5">
        <v>71638000000000</v>
      </c>
      <c r="CK82" s="5">
        <v>2915700000000</v>
      </c>
      <c r="CL82" s="5">
        <v>48433000000000</v>
      </c>
      <c r="CM82" s="5">
        <v>2247300000000</v>
      </c>
      <c r="CN82" s="5">
        <v>31679000000000</v>
      </c>
      <c r="CO82" s="5">
        <v>1457200000000</v>
      </c>
      <c r="CP82" s="5">
        <v>21689000000000</v>
      </c>
      <c r="CQ82" s="5">
        <v>962980000000</v>
      </c>
      <c r="CR82" s="5">
        <v>12942000000000</v>
      </c>
      <c r="CS82" s="5">
        <v>587560000000</v>
      </c>
      <c r="CT82" s="5">
        <v>11381000000000</v>
      </c>
      <c r="CU82" s="5">
        <v>605490000000</v>
      </c>
      <c r="CV82" s="5">
        <v>9630600000000</v>
      </c>
      <c r="CW82" s="5">
        <v>462270000000</v>
      </c>
      <c r="CX82" s="5">
        <v>7215700000000</v>
      </c>
      <c r="CY82" s="5">
        <v>321820000000</v>
      </c>
      <c r="CZ82" s="5">
        <v>5538200000000</v>
      </c>
      <c r="DA82" s="5">
        <v>258630000000</v>
      </c>
      <c r="DB82" s="5">
        <v>3628100000000</v>
      </c>
      <c r="DC82" s="5">
        <v>170880000000</v>
      </c>
      <c r="DD82" s="5">
        <v>2410400000000</v>
      </c>
      <c r="DE82" s="5">
        <v>152820000000</v>
      </c>
      <c r="DF82" s="5">
        <v>1995200000000</v>
      </c>
      <c r="DG82" s="5">
        <v>96964000000</v>
      </c>
      <c r="DH82" s="5">
        <v>1146200000000</v>
      </c>
      <c r="DI82" s="5">
        <v>69233000000</v>
      </c>
      <c r="DJ82" s="5">
        <v>716660000000</v>
      </c>
      <c r="DK82" s="5">
        <v>42642000000</v>
      </c>
      <c r="DL82" s="5">
        <v>484390000000</v>
      </c>
      <c r="DM82" s="5">
        <v>40399000000</v>
      </c>
      <c r="DN82" s="5">
        <v>343840000000</v>
      </c>
      <c r="DO82" s="5">
        <v>27473000000</v>
      </c>
      <c r="DP82" s="5">
        <v>150140000000</v>
      </c>
      <c r="DQ82" s="5">
        <v>11861000000</v>
      </c>
      <c r="DR82" s="5">
        <v>90447000000</v>
      </c>
      <c r="DS82" s="5">
        <v>8927100000</v>
      </c>
      <c r="DT82" s="5">
        <v>29462000000</v>
      </c>
      <c r="DU82" s="5">
        <v>3214300000</v>
      </c>
      <c r="DV82" s="5">
        <v>18098000000</v>
      </c>
      <c r="DW82" s="5">
        <v>3315500000</v>
      </c>
      <c r="DX82" s="5">
        <v>7789600000</v>
      </c>
      <c r="DY82" s="5">
        <v>2094600000</v>
      </c>
      <c r="DZ82" s="5">
        <v>2720800000</v>
      </c>
      <c r="EA82" s="5">
        <v>780330000</v>
      </c>
      <c r="EB82" s="5">
        <v>1634900000</v>
      </c>
      <c r="EC82" s="5">
        <v>774600000</v>
      </c>
      <c r="ED82" s="5">
        <v>276220000</v>
      </c>
      <c r="EE82" s="5">
        <v>210370000</v>
      </c>
      <c r="EF82" s="5">
        <v>43099000</v>
      </c>
      <c r="EG82" s="5">
        <v>43099000</v>
      </c>
      <c r="EH82" s="5">
        <v>0</v>
      </c>
      <c r="EI82" s="5">
        <v>0</v>
      </c>
      <c r="EJ82" s="5">
        <v>0</v>
      </c>
      <c r="EK82" s="5">
        <v>0</v>
      </c>
      <c r="EL82" s="5">
        <v>0</v>
      </c>
      <c r="EM82" s="5">
        <v>0</v>
      </c>
      <c r="EN82" s="5">
        <v>0</v>
      </c>
      <c r="EO82" s="5">
        <v>0</v>
      </c>
      <c r="EP82" s="5">
        <v>0</v>
      </c>
      <c r="EQ82" s="5">
        <v>0</v>
      </c>
    </row>
    <row r="83" spans="1:147">
      <c r="A83" s="5"/>
      <c r="B83" s="5"/>
      <c r="C83" s="5"/>
      <c r="D83" s="5"/>
      <c r="E83" s="5">
        <v>0</v>
      </c>
      <c r="F83" s="5">
        <v>0</v>
      </c>
      <c r="G83" s="5">
        <v>0</v>
      </c>
      <c r="H83" s="5">
        <v>0</v>
      </c>
      <c r="I83" s="5">
        <v>0</v>
      </c>
      <c r="J83" s="5">
        <v>12181000000000</v>
      </c>
      <c r="K83" s="5">
        <v>12181000000000</v>
      </c>
      <c r="L83" s="5">
        <v>0</v>
      </c>
      <c r="M83" s="5">
        <v>0</v>
      </c>
      <c r="N83" s="5">
        <v>7676500000000</v>
      </c>
      <c r="O83" s="5">
        <v>7676500000000</v>
      </c>
      <c r="P83" s="5">
        <v>169900000000000</v>
      </c>
      <c r="Q83" s="5">
        <v>163920000000000</v>
      </c>
      <c r="R83" s="5">
        <v>24247000000000</v>
      </c>
      <c r="S83" s="5">
        <v>10843000000000</v>
      </c>
      <c r="T83" s="5">
        <v>30920000000000</v>
      </c>
      <c r="U83" s="5">
        <v>10933000000000</v>
      </c>
      <c r="V83" s="5">
        <v>220220000000000</v>
      </c>
      <c r="W83" s="5">
        <v>121780000000000</v>
      </c>
      <c r="X83" s="5">
        <v>147990000000000</v>
      </c>
      <c r="Y83" s="5">
        <v>62068000000000</v>
      </c>
      <c r="Z83" s="5">
        <v>371670000000000</v>
      </c>
      <c r="AA83" s="5">
        <v>139270000000000</v>
      </c>
      <c r="AB83" s="5">
        <v>287800000000000</v>
      </c>
      <c r="AC83" s="5">
        <v>102570000000000</v>
      </c>
      <c r="AD83" s="5">
        <v>467260000000000</v>
      </c>
      <c r="AE83" s="5">
        <v>117750000000000</v>
      </c>
      <c r="AF83" s="5">
        <v>1355800000000000</v>
      </c>
      <c r="AG83" s="5">
        <v>195100000000000</v>
      </c>
      <c r="AH83" s="5">
        <v>1806400000000000</v>
      </c>
      <c r="AI83" s="5">
        <v>206830000000000</v>
      </c>
      <c r="AJ83" s="5">
        <v>2314800000000000</v>
      </c>
      <c r="AK83" s="5">
        <v>232170000000000</v>
      </c>
      <c r="AL83" s="5">
        <v>2673500000000000</v>
      </c>
      <c r="AM83" s="5">
        <v>213610000000000</v>
      </c>
      <c r="AN83" s="5">
        <v>3941100000000000</v>
      </c>
      <c r="AO83" s="5">
        <v>258530000000000</v>
      </c>
      <c r="AP83" s="5">
        <v>4831400000000000</v>
      </c>
      <c r="AQ83" s="5">
        <v>241570000000000</v>
      </c>
      <c r="AR83" s="5">
        <v>7624400000000000</v>
      </c>
      <c r="AS83" s="5">
        <v>294300000000000</v>
      </c>
      <c r="AT83" s="5">
        <v>8672200000000000</v>
      </c>
      <c r="AU83" s="5">
        <v>293990000000000</v>
      </c>
      <c r="AV83" s="5">
        <v>1.0338E+16</v>
      </c>
      <c r="AW83" s="5">
        <v>294640000000000</v>
      </c>
      <c r="AX83" s="5">
        <v>1.0623E+16</v>
      </c>
      <c r="AY83" s="5">
        <v>268760000000000</v>
      </c>
      <c r="AZ83" s="5">
        <v>1.1123E+16</v>
      </c>
      <c r="BA83" s="5">
        <v>242490000000000</v>
      </c>
      <c r="BB83" s="5">
        <v>1.0197E+16</v>
      </c>
      <c r="BC83" s="5">
        <v>224330000000000</v>
      </c>
      <c r="BD83" s="5">
        <v>8695600000000000</v>
      </c>
      <c r="BE83" s="5">
        <v>175650000000000</v>
      </c>
      <c r="BF83" s="5">
        <v>7326200000000000</v>
      </c>
      <c r="BG83" s="5">
        <v>142860000000000</v>
      </c>
      <c r="BH83" s="5">
        <v>5593400000000000</v>
      </c>
      <c r="BI83" s="5">
        <v>113550000000000</v>
      </c>
      <c r="BJ83" s="5">
        <v>4598000000000000</v>
      </c>
      <c r="BK83" s="5">
        <v>98397000000000</v>
      </c>
      <c r="BL83" s="5">
        <v>3699500000000000</v>
      </c>
      <c r="BM83" s="5">
        <v>81389000000000</v>
      </c>
      <c r="BN83" s="5">
        <v>2906600000000000</v>
      </c>
      <c r="BO83" s="5">
        <v>68886000000000</v>
      </c>
      <c r="BP83" s="5">
        <v>2268400000000000</v>
      </c>
      <c r="BQ83" s="5">
        <v>66917000000000</v>
      </c>
      <c r="BR83" s="5">
        <v>1356200000000000</v>
      </c>
      <c r="BS83" s="5">
        <v>39465000000000</v>
      </c>
      <c r="BT83" s="5">
        <v>799800000000000</v>
      </c>
      <c r="BU83" s="5">
        <v>28473000000000</v>
      </c>
      <c r="BV83" s="5">
        <v>525080000000000</v>
      </c>
      <c r="BW83" s="5">
        <v>22578000000000</v>
      </c>
      <c r="BX83" s="5">
        <v>333410000000000</v>
      </c>
      <c r="BY83" s="5">
        <v>16004000000000</v>
      </c>
      <c r="BZ83" s="5">
        <v>231430000000000</v>
      </c>
      <c r="CA83" s="5">
        <v>11386000000000</v>
      </c>
      <c r="CB83" s="5">
        <v>170450000000000</v>
      </c>
      <c r="CC83" s="5">
        <v>8488600000000</v>
      </c>
      <c r="CD83" s="5">
        <v>121100000000000</v>
      </c>
      <c r="CE83" s="5">
        <v>4626200000000</v>
      </c>
      <c r="CF83" s="5">
        <v>84625000000000</v>
      </c>
      <c r="CG83" s="5">
        <v>3393500000000</v>
      </c>
      <c r="CH83" s="5">
        <v>60166000000000</v>
      </c>
      <c r="CI83" s="5">
        <v>2677400000000</v>
      </c>
      <c r="CJ83" s="5">
        <v>43648000000000</v>
      </c>
      <c r="CK83" s="5">
        <v>1785200000000</v>
      </c>
      <c r="CL83" s="5">
        <v>31699000000000</v>
      </c>
      <c r="CM83" s="5">
        <v>1455000000000</v>
      </c>
      <c r="CN83" s="5">
        <v>22641000000000</v>
      </c>
      <c r="CO83" s="5">
        <v>1012000000000</v>
      </c>
      <c r="CP83" s="5">
        <v>16040000000000</v>
      </c>
      <c r="CQ83" s="5">
        <v>741050000000</v>
      </c>
      <c r="CR83" s="5">
        <v>10412000000000</v>
      </c>
      <c r="CS83" s="5">
        <v>651770000000</v>
      </c>
      <c r="CT83" s="5">
        <v>7542400000000</v>
      </c>
      <c r="CU83" s="5">
        <v>380890000000</v>
      </c>
      <c r="CV83" s="5">
        <v>6869700000000</v>
      </c>
      <c r="CW83" s="5">
        <v>309830000000</v>
      </c>
      <c r="CX83" s="5">
        <v>5599500000000</v>
      </c>
      <c r="CY83" s="5">
        <v>274370000000</v>
      </c>
      <c r="CZ83" s="5">
        <v>4777300000000</v>
      </c>
      <c r="DA83" s="5">
        <v>228830000000</v>
      </c>
      <c r="DB83" s="5">
        <v>2550900000000</v>
      </c>
      <c r="DC83" s="5">
        <v>128820000000</v>
      </c>
      <c r="DD83" s="5">
        <v>1572400000000</v>
      </c>
      <c r="DE83" s="5">
        <v>94343000000</v>
      </c>
      <c r="DF83" s="5">
        <v>1455900000000</v>
      </c>
      <c r="DG83" s="5">
        <v>76141000000</v>
      </c>
      <c r="DH83" s="5">
        <v>655780000000</v>
      </c>
      <c r="DI83" s="5">
        <v>48200000000</v>
      </c>
      <c r="DJ83" s="5">
        <v>533870000000</v>
      </c>
      <c r="DK83" s="5">
        <v>43777000000</v>
      </c>
      <c r="DL83" s="5">
        <v>265470000000</v>
      </c>
      <c r="DM83" s="5">
        <v>22644000000</v>
      </c>
      <c r="DN83" s="5">
        <v>173930000000</v>
      </c>
      <c r="DO83" s="5">
        <v>15602000000</v>
      </c>
      <c r="DP83" s="5">
        <v>110810000000</v>
      </c>
      <c r="DQ83" s="5">
        <v>14173000000</v>
      </c>
      <c r="DR83" s="5">
        <v>35185000000</v>
      </c>
      <c r="DS83" s="5">
        <v>4556500000</v>
      </c>
      <c r="DT83" s="5">
        <v>20815000000</v>
      </c>
      <c r="DU83" s="5">
        <v>4521100000</v>
      </c>
      <c r="DV83" s="5">
        <v>8077100000</v>
      </c>
      <c r="DW83" s="5">
        <v>1637200000</v>
      </c>
      <c r="DX83" s="5">
        <v>3033400000</v>
      </c>
      <c r="DY83" s="5">
        <v>1167900000</v>
      </c>
      <c r="DZ83" s="5">
        <v>1535700000</v>
      </c>
      <c r="EA83" s="5">
        <v>1310700000</v>
      </c>
      <c r="EB83" s="5">
        <v>1043700000</v>
      </c>
      <c r="EC83" s="5">
        <v>651870000</v>
      </c>
      <c r="ED83" s="5">
        <v>15364000</v>
      </c>
      <c r="EE83" s="5">
        <v>10864000</v>
      </c>
      <c r="EF83" s="5">
        <v>0</v>
      </c>
      <c r="EG83" s="5">
        <v>0</v>
      </c>
      <c r="EH83" s="5">
        <v>0</v>
      </c>
      <c r="EI83" s="5">
        <v>0</v>
      </c>
      <c r="EJ83" s="5">
        <v>0</v>
      </c>
      <c r="EK83" s="5">
        <v>0</v>
      </c>
      <c r="EL83" s="5">
        <v>0</v>
      </c>
      <c r="EM83" s="5">
        <v>0</v>
      </c>
      <c r="EN83" s="5">
        <v>0</v>
      </c>
      <c r="EO83" s="5">
        <v>0</v>
      </c>
      <c r="EP83" s="5">
        <v>0</v>
      </c>
      <c r="EQ83" s="5">
        <v>0</v>
      </c>
    </row>
    <row r="84" spans="1:147">
      <c r="A84" s="5"/>
      <c r="B84" s="5"/>
      <c r="C84" s="5"/>
      <c r="D84" s="5"/>
      <c r="E84" s="5">
        <v>0</v>
      </c>
      <c r="F84" s="5">
        <v>0</v>
      </c>
      <c r="G84" s="5">
        <v>0</v>
      </c>
      <c r="H84" s="5">
        <v>0</v>
      </c>
      <c r="I84" s="5">
        <v>0</v>
      </c>
      <c r="J84" s="5">
        <v>10874000000000</v>
      </c>
      <c r="K84" s="5">
        <v>10874000000000</v>
      </c>
      <c r="L84" s="5">
        <v>0</v>
      </c>
      <c r="M84" s="5">
        <v>0</v>
      </c>
      <c r="N84" s="5">
        <v>139520000000000</v>
      </c>
      <c r="O84" s="5">
        <v>139520000000000</v>
      </c>
      <c r="P84" s="5">
        <v>10882000000000</v>
      </c>
      <c r="Q84" s="5">
        <v>7694400000000</v>
      </c>
      <c r="R84" s="5">
        <v>163550000000000</v>
      </c>
      <c r="S84" s="5">
        <v>125510000000000</v>
      </c>
      <c r="T84" s="5">
        <v>511110000000000</v>
      </c>
      <c r="U84" s="5">
        <v>428520000000000</v>
      </c>
      <c r="V84" s="5">
        <v>391260000000000</v>
      </c>
      <c r="W84" s="5">
        <v>178960000000000</v>
      </c>
      <c r="X84" s="5">
        <v>323270000000000</v>
      </c>
      <c r="Y84" s="5">
        <v>130080000000000</v>
      </c>
      <c r="Z84" s="5">
        <v>280320000000000</v>
      </c>
      <c r="AA84" s="5">
        <v>92225000000000</v>
      </c>
      <c r="AB84" s="5">
        <v>464220000000000</v>
      </c>
      <c r="AC84" s="5">
        <v>122370000000000</v>
      </c>
      <c r="AD84" s="5">
        <v>947350000000000</v>
      </c>
      <c r="AE84" s="5">
        <v>176210000000000</v>
      </c>
      <c r="AF84" s="5">
        <v>1376500000000000</v>
      </c>
      <c r="AG84" s="5">
        <v>176060000000000</v>
      </c>
      <c r="AH84" s="5">
        <v>1952600000000000</v>
      </c>
      <c r="AI84" s="5">
        <v>201900000000000</v>
      </c>
      <c r="AJ84" s="5">
        <v>2842400000000000</v>
      </c>
      <c r="AK84" s="5">
        <v>241030000000000</v>
      </c>
      <c r="AL84" s="5">
        <v>4338700000000000</v>
      </c>
      <c r="AM84" s="5">
        <v>279410000000000</v>
      </c>
      <c r="AN84" s="5">
        <v>5381800000000000</v>
      </c>
      <c r="AO84" s="5">
        <v>279320000000000</v>
      </c>
      <c r="AP84" s="5">
        <v>6245300000000000</v>
      </c>
      <c r="AQ84" s="5">
        <v>272290000000000</v>
      </c>
      <c r="AR84" s="5">
        <v>9993200000000000</v>
      </c>
      <c r="AS84" s="5">
        <v>323780000000000</v>
      </c>
      <c r="AT84" s="5">
        <v>1.1201E+16</v>
      </c>
      <c r="AU84" s="5">
        <v>312500000000000</v>
      </c>
      <c r="AV84" s="5">
        <v>1.25E+16</v>
      </c>
      <c r="AW84" s="5">
        <v>298740000000000</v>
      </c>
      <c r="AX84" s="5">
        <v>1.287E+16</v>
      </c>
      <c r="AY84" s="5">
        <v>293430000000000</v>
      </c>
      <c r="AZ84" s="5">
        <v>1.2305E+16</v>
      </c>
      <c r="BA84" s="5">
        <v>241170000000000</v>
      </c>
      <c r="BB84" s="5">
        <v>1.0392E+16</v>
      </c>
      <c r="BC84" s="5">
        <v>196410000000000</v>
      </c>
      <c r="BD84" s="5">
        <v>8650400000000000</v>
      </c>
      <c r="BE84" s="5">
        <v>159170000000000</v>
      </c>
      <c r="BF84" s="5">
        <v>6636900000000000</v>
      </c>
      <c r="BG84" s="5">
        <v>130750000000000</v>
      </c>
      <c r="BH84" s="5">
        <v>4782000000000000</v>
      </c>
      <c r="BI84" s="5">
        <v>98509000000000</v>
      </c>
      <c r="BJ84" s="5">
        <v>3846000000000000</v>
      </c>
      <c r="BK84" s="5">
        <v>90765000000000</v>
      </c>
      <c r="BL84" s="5">
        <v>2932600000000000</v>
      </c>
      <c r="BM84" s="5">
        <v>73609000000000</v>
      </c>
      <c r="BN84" s="5">
        <v>2171900000000000</v>
      </c>
      <c r="BO84" s="5">
        <v>53428000000000</v>
      </c>
      <c r="BP84" s="5">
        <v>1527200000000000</v>
      </c>
      <c r="BQ84" s="5">
        <v>43830000000000</v>
      </c>
      <c r="BR84" s="5">
        <v>931230000000000</v>
      </c>
      <c r="BS84" s="5">
        <v>34083000000000</v>
      </c>
      <c r="BT84" s="5">
        <v>562900000000000</v>
      </c>
      <c r="BU84" s="5">
        <v>23360000000000</v>
      </c>
      <c r="BV84" s="5">
        <v>324050000000000</v>
      </c>
      <c r="BW84" s="5">
        <v>15781000000000</v>
      </c>
      <c r="BX84" s="5">
        <v>231030000000000</v>
      </c>
      <c r="BY84" s="5">
        <v>12083000000000</v>
      </c>
      <c r="BZ84" s="5">
        <v>171400000000000</v>
      </c>
      <c r="CA84" s="5">
        <v>9118700000000</v>
      </c>
      <c r="CB84" s="5">
        <v>121050000000000</v>
      </c>
      <c r="CC84" s="5">
        <v>7323700000000</v>
      </c>
      <c r="CD84" s="5">
        <v>90154000000000</v>
      </c>
      <c r="CE84" s="5">
        <v>3741400000000</v>
      </c>
      <c r="CF84" s="5">
        <v>68532000000000</v>
      </c>
      <c r="CG84" s="5">
        <v>2926300000000</v>
      </c>
      <c r="CH84" s="5">
        <v>44924000000000</v>
      </c>
      <c r="CI84" s="5">
        <v>2196800000000</v>
      </c>
      <c r="CJ84" s="5">
        <v>35138000000000</v>
      </c>
      <c r="CK84" s="5">
        <v>1539100000000</v>
      </c>
      <c r="CL84" s="5">
        <v>27515000000000</v>
      </c>
      <c r="CM84" s="5">
        <v>1274000000000</v>
      </c>
      <c r="CN84" s="5">
        <v>17839000000000</v>
      </c>
      <c r="CO84" s="5">
        <v>842010000000</v>
      </c>
      <c r="CP84" s="5">
        <v>11682000000000</v>
      </c>
      <c r="CQ84" s="5">
        <v>575900000000</v>
      </c>
      <c r="CR84" s="5">
        <v>8000800000000</v>
      </c>
      <c r="CS84" s="5">
        <v>594460000000</v>
      </c>
      <c r="CT84" s="5">
        <v>5295300000000</v>
      </c>
      <c r="CU84" s="5">
        <v>345780000000</v>
      </c>
      <c r="CV84" s="5">
        <v>5158300000000</v>
      </c>
      <c r="CW84" s="5">
        <v>249150000000</v>
      </c>
      <c r="CX84" s="5">
        <v>4110600000000</v>
      </c>
      <c r="CY84" s="5">
        <v>210460000000</v>
      </c>
      <c r="CZ84" s="5">
        <v>3169000000000</v>
      </c>
      <c r="DA84" s="5">
        <v>162570000000</v>
      </c>
      <c r="DB84" s="5">
        <v>1876700000000</v>
      </c>
      <c r="DC84" s="5">
        <v>102090000000</v>
      </c>
      <c r="DD84" s="5">
        <v>1420500000000</v>
      </c>
      <c r="DE84" s="5">
        <v>94039000000</v>
      </c>
      <c r="DF84" s="5">
        <v>855580000000</v>
      </c>
      <c r="DG84" s="5">
        <v>53645000000</v>
      </c>
      <c r="DH84" s="5">
        <v>488950000000</v>
      </c>
      <c r="DI84" s="5">
        <v>35596000000</v>
      </c>
      <c r="DJ84" s="5">
        <v>289390000000</v>
      </c>
      <c r="DK84" s="5">
        <v>23875000000</v>
      </c>
      <c r="DL84" s="5">
        <v>153280000000</v>
      </c>
      <c r="DM84" s="5">
        <v>14776000000</v>
      </c>
      <c r="DN84" s="5">
        <v>78818000000</v>
      </c>
      <c r="DO84" s="5">
        <v>10885000000</v>
      </c>
      <c r="DP84" s="5">
        <v>55124000000</v>
      </c>
      <c r="DQ84" s="5">
        <v>7678700000</v>
      </c>
      <c r="DR84" s="5">
        <v>28733000000</v>
      </c>
      <c r="DS84" s="5">
        <v>5939200000</v>
      </c>
      <c r="DT84" s="5">
        <v>10562000000</v>
      </c>
      <c r="DU84" s="5">
        <v>2790500000</v>
      </c>
      <c r="DV84" s="5">
        <v>3830600000</v>
      </c>
      <c r="DW84" s="5">
        <v>1698500000</v>
      </c>
      <c r="DX84" s="5">
        <v>1667300000</v>
      </c>
      <c r="DY84" s="5">
        <v>769120000</v>
      </c>
      <c r="DZ84" s="5">
        <v>2545700000</v>
      </c>
      <c r="EA84" s="5">
        <v>1862200000</v>
      </c>
      <c r="EB84" s="5">
        <v>8613200</v>
      </c>
      <c r="EC84" s="5">
        <v>8613200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</row>
    <row r="85" spans="1:147">
      <c r="A85" s="5"/>
      <c r="B85" s="5"/>
      <c r="C85" s="5"/>
      <c r="D85" s="5"/>
      <c r="E85" s="5">
        <v>0</v>
      </c>
      <c r="F85" s="5">
        <v>15337000000000</v>
      </c>
      <c r="G85" s="5">
        <v>15337000000000</v>
      </c>
      <c r="H85" s="5">
        <v>0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 s="5">
        <v>34333000000000</v>
      </c>
      <c r="O85" s="5">
        <v>34333000000000</v>
      </c>
      <c r="P85" s="5">
        <v>15680000000000</v>
      </c>
      <c r="Q85" s="5">
        <v>9098900000000</v>
      </c>
      <c r="R85" s="5">
        <v>84626000000000</v>
      </c>
      <c r="S85" s="5">
        <v>54897000000000</v>
      </c>
      <c r="T85" s="5">
        <v>110980000000000</v>
      </c>
      <c r="U85" s="5">
        <v>66342000000000</v>
      </c>
      <c r="V85" s="5">
        <v>502410000000000</v>
      </c>
      <c r="W85" s="5">
        <v>176290000000000</v>
      </c>
      <c r="X85" s="5">
        <v>518830000000000</v>
      </c>
      <c r="Y85" s="5">
        <v>159330000000000</v>
      </c>
      <c r="Z85" s="5">
        <v>556090000000000</v>
      </c>
      <c r="AA85" s="5">
        <v>144810000000000</v>
      </c>
      <c r="AB85" s="5">
        <v>477360000000000</v>
      </c>
      <c r="AC85" s="5">
        <v>121340000000000</v>
      </c>
      <c r="AD85" s="5">
        <v>1120300000000000</v>
      </c>
      <c r="AE85" s="5">
        <v>201660000000000</v>
      </c>
      <c r="AF85" s="5">
        <v>1568000000000000</v>
      </c>
      <c r="AG85" s="5">
        <v>175770000000000</v>
      </c>
      <c r="AH85" s="5">
        <v>2896800000000000</v>
      </c>
      <c r="AI85" s="5">
        <v>276360000000000</v>
      </c>
      <c r="AJ85" s="5">
        <v>3507500000000000</v>
      </c>
      <c r="AK85" s="5">
        <v>242720000000000</v>
      </c>
      <c r="AL85" s="5">
        <v>5039900000000000</v>
      </c>
      <c r="AM85" s="5">
        <v>262080000000000</v>
      </c>
      <c r="AN85" s="5">
        <v>6996100000000000</v>
      </c>
      <c r="AO85" s="5">
        <v>294530000000000</v>
      </c>
      <c r="AP85" s="5">
        <v>8190700000000000</v>
      </c>
      <c r="AQ85" s="5">
        <v>289950000000000</v>
      </c>
      <c r="AR85" s="5">
        <v>1.2591E+16</v>
      </c>
      <c r="AS85" s="5">
        <v>348760000000000</v>
      </c>
      <c r="AT85" s="5">
        <v>1.4219E+16</v>
      </c>
      <c r="AU85" s="5">
        <v>341250000000000</v>
      </c>
      <c r="AV85" s="5">
        <v>1.4638E+16</v>
      </c>
      <c r="AW85" s="5">
        <v>310330000000000</v>
      </c>
      <c r="AX85" s="5">
        <v>1.4478E+16</v>
      </c>
      <c r="AY85" s="5">
        <v>283770000000000</v>
      </c>
      <c r="AZ85" s="5">
        <v>1.343E+16</v>
      </c>
      <c r="BA85" s="5">
        <v>233680000000000</v>
      </c>
      <c r="BB85" s="5">
        <v>1.054E+16</v>
      </c>
      <c r="BC85" s="5">
        <v>188670000000000</v>
      </c>
      <c r="BD85" s="5">
        <v>8215700000000000</v>
      </c>
      <c r="BE85" s="5">
        <v>154450000000000</v>
      </c>
      <c r="BF85" s="5">
        <v>5558000000000000</v>
      </c>
      <c r="BG85" s="5">
        <v>102270000000000</v>
      </c>
      <c r="BH85" s="5">
        <v>4102400000000000</v>
      </c>
      <c r="BI85" s="5">
        <v>91074000000000</v>
      </c>
      <c r="BJ85" s="5">
        <v>2891800000000000</v>
      </c>
      <c r="BK85" s="5">
        <v>71427000000000</v>
      </c>
      <c r="BL85" s="5">
        <v>2170600000000000</v>
      </c>
      <c r="BM85" s="5">
        <v>57087000000000</v>
      </c>
      <c r="BN85" s="5">
        <v>1459800000000000</v>
      </c>
      <c r="BO85" s="5">
        <v>45399000000000</v>
      </c>
      <c r="BP85" s="5">
        <v>963880000000000</v>
      </c>
      <c r="BQ85" s="5">
        <v>29784000000000</v>
      </c>
      <c r="BR85" s="5">
        <v>607340000000000</v>
      </c>
      <c r="BS85" s="5">
        <v>24294000000000</v>
      </c>
      <c r="BT85" s="5">
        <v>404340000000000</v>
      </c>
      <c r="BU85" s="5">
        <v>20055000000000</v>
      </c>
      <c r="BV85" s="5">
        <v>226790000000000</v>
      </c>
      <c r="BW85" s="5">
        <v>11816000000000</v>
      </c>
      <c r="BX85" s="5">
        <v>166080000000000</v>
      </c>
      <c r="BY85" s="5">
        <v>9682500000000</v>
      </c>
      <c r="BZ85" s="5">
        <v>125040000000000</v>
      </c>
      <c r="CA85" s="5">
        <v>7652600000000</v>
      </c>
      <c r="CB85" s="5">
        <v>86081000000000</v>
      </c>
      <c r="CC85" s="5">
        <v>6085900000000</v>
      </c>
      <c r="CD85" s="5">
        <v>69608000000000</v>
      </c>
      <c r="CE85" s="5">
        <v>4246100000000</v>
      </c>
      <c r="CF85" s="5">
        <v>49365000000000</v>
      </c>
      <c r="CG85" s="5">
        <v>2196800000000</v>
      </c>
      <c r="CH85" s="5">
        <v>30524000000000</v>
      </c>
      <c r="CI85" s="5">
        <v>1492600000000</v>
      </c>
      <c r="CJ85" s="5">
        <v>24563000000000</v>
      </c>
      <c r="CK85" s="5">
        <v>1279700000000</v>
      </c>
      <c r="CL85" s="5">
        <v>19184000000000</v>
      </c>
      <c r="CM85" s="5">
        <v>893990000000</v>
      </c>
      <c r="CN85" s="5">
        <v>13418000000000</v>
      </c>
      <c r="CO85" s="5">
        <v>727260000000</v>
      </c>
      <c r="CP85" s="5">
        <v>8856400000000</v>
      </c>
      <c r="CQ85" s="5">
        <v>497730000000</v>
      </c>
      <c r="CR85" s="5">
        <v>5293800000000</v>
      </c>
      <c r="CS85" s="5">
        <v>373210000000</v>
      </c>
      <c r="CT85" s="5">
        <v>4008300000000</v>
      </c>
      <c r="CU85" s="5">
        <v>245310000000</v>
      </c>
      <c r="CV85" s="5">
        <v>4279600000000</v>
      </c>
      <c r="CW85" s="5">
        <v>298710000000</v>
      </c>
      <c r="CX85" s="5">
        <v>3137000000000</v>
      </c>
      <c r="CY85" s="5">
        <v>167520000000</v>
      </c>
      <c r="CZ85" s="5">
        <v>2059300000000</v>
      </c>
      <c r="DA85" s="5">
        <v>97609000000</v>
      </c>
      <c r="DB85" s="5">
        <v>1314300000000</v>
      </c>
      <c r="DC85" s="5">
        <v>86872000000</v>
      </c>
      <c r="DD85" s="5">
        <v>933340000000</v>
      </c>
      <c r="DE85" s="5">
        <v>66641000000</v>
      </c>
      <c r="DF85" s="5">
        <v>643080000000</v>
      </c>
      <c r="DG85" s="5">
        <v>51382000000</v>
      </c>
      <c r="DH85" s="5">
        <v>285480000000</v>
      </c>
      <c r="DI85" s="5">
        <v>25407000000</v>
      </c>
      <c r="DJ85" s="5">
        <v>176440000000</v>
      </c>
      <c r="DK85" s="5">
        <v>19268000000</v>
      </c>
      <c r="DL85" s="5">
        <v>93295000000</v>
      </c>
      <c r="DM85" s="5">
        <v>12007000000</v>
      </c>
      <c r="DN85" s="5">
        <v>40296000000</v>
      </c>
      <c r="DO85" s="5">
        <v>7180700000</v>
      </c>
      <c r="DP85" s="5">
        <v>28326000000</v>
      </c>
      <c r="DQ85" s="5">
        <v>6427100000</v>
      </c>
      <c r="DR85" s="5">
        <v>9695600000</v>
      </c>
      <c r="DS85" s="5">
        <v>2905800000</v>
      </c>
      <c r="DT85" s="5">
        <v>3125600000</v>
      </c>
      <c r="DU85" s="5">
        <v>1056400000</v>
      </c>
      <c r="DV85" s="5">
        <v>886530000</v>
      </c>
      <c r="DW85" s="5">
        <v>528110000</v>
      </c>
      <c r="DX85" s="5">
        <v>1052200000</v>
      </c>
      <c r="DY85" s="5">
        <v>692760000</v>
      </c>
      <c r="DZ85" s="5">
        <v>33585000</v>
      </c>
      <c r="EA85" s="5">
        <v>33585000</v>
      </c>
      <c r="EB85" s="5">
        <v>15364000</v>
      </c>
      <c r="EC85" s="5">
        <v>15364000</v>
      </c>
      <c r="ED85" s="5">
        <v>0</v>
      </c>
      <c r="EE85" s="5">
        <v>0</v>
      </c>
      <c r="EF85" s="5">
        <v>0</v>
      </c>
      <c r="EG85" s="5">
        <v>0</v>
      </c>
      <c r="EH85" s="5">
        <v>0</v>
      </c>
      <c r="EI85" s="5">
        <v>0</v>
      </c>
      <c r="EJ85" s="5">
        <v>0</v>
      </c>
      <c r="EK85" s="5">
        <v>0</v>
      </c>
      <c r="EL85" s="5">
        <v>0</v>
      </c>
      <c r="EM85" s="5">
        <v>0</v>
      </c>
      <c r="EN85" s="5">
        <v>0</v>
      </c>
      <c r="EO85" s="5">
        <v>0</v>
      </c>
      <c r="EP85" s="5">
        <v>0</v>
      </c>
      <c r="EQ85" s="5">
        <v>0</v>
      </c>
    </row>
    <row r="86" spans="1:147">
      <c r="A86" s="5"/>
      <c r="B86" s="5"/>
      <c r="C86" s="5"/>
      <c r="D86" s="5"/>
      <c r="E86" s="5">
        <v>63402000000000</v>
      </c>
      <c r="F86" s="5">
        <v>48683000000000</v>
      </c>
      <c r="G86" s="5">
        <v>37593000000000</v>
      </c>
      <c r="H86" s="5">
        <v>169690000000000</v>
      </c>
      <c r="I86" s="5">
        <v>169690000000000</v>
      </c>
      <c r="J86" s="5">
        <v>8629900000000</v>
      </c>
      <c r="K86" s="5">
        <v>8629900000000</v>
      </c>
      <c r="L86" s="5">
        <v>31141000000000</v>
      </c>
      <c r="M86" s="5">
        <v>25243000000000</v>
      </c>
      <c r="N86" s="5">
        <v>1249200000000000</v>
      </c>
      <c r="O86" s="5">
        <v>1120400000000000</v>
      </c>
      <c r="P86" s="5">
        <v>21606000000000</v>
      </c>
      <c r="Q86" s="5">
        <v>9662200000000</v>
      </c>
      <c r="R86" s="5">
        <v>184930000000000</v>
      </c>
      <c r="S86" s="5">
        <v>109480000000000</v>
      </c>
      <c r="T86" s="5">
        <v>70946000000000</v>
      </c>
      <c r="U86" s="5">
        <v>38900000000000</v>
      </c>
      <c r="V86" s="5">
        <v>480620000000000</v>
      </c>
      <c r="W86" s="5">
        <v>148370000000000</v>
      </c>
      <c r="X86" s="5">
        <v>794860000000000</v>
      </c>
      <c r="Y86" s="5">
        <v>194580000000000</v>
      </c>
      <c r="Z86" s="5">
        <v>993610000000000</v>
      </c>
      <c r="AA86" s="5">
        <v>243140000000000</v>
      </c>
      <c r="AB86" s="5">
        <v>791570000000000</v>
      </c>
      <c r="AC86" s="5">
        <v>149050000000000</v>
      </c>
      <c r="AD86" s="5">
        <v>1446000000000000</v>
      </c>
      <c r="AE86" s="5">
        <v>184650000000000</v>
      </c>
      <c r="AF86" s="5">
        <v>2995600000000000</v>
      </c>
      <c r="AG86" s="5">
        <v>256720000000000</v>
      </c>
      <c r="AH86" s="5">
        <v>4298900000000000</v>
      </c>
      <c r="AI86" s="5">
        <v>284160000000000</v>
      </c>
      <c r="AJ86" s="5">
        <v>4793400000000000</v>
      </c>
      <c r="AK86" s="5">
        <v>271780000000000</v>
      </c>
      <c r="AL86" s="5">
        <v>6261400000000000</v>
      </c>
      <c r="AM86" s="5">
        <v>271740000000000</v>
      </c>
      <c r="AN86" s="5">
        <v>9400800000000000</v>
      </c>
      <c r="AO86" s="5">
        <v>324330000000000</v>
      </c>
      <c r="AP86" s="5">
        <v>1.0743E+16</v>
      </c>
      <c r="AQ86" s="5">
        <v>312610000000000</v>
      </c>
      <c r="AR86" s="5">
        <v>1.4597E+16</v>
      </c>
      <c r="AS86" s="5">
        <v>343030000000000</v>
      </c>
      <c r="AT86" s="5">
        <v>1.6904E+16</v>
      </c>
      <c r="AU86" s="5">
        <v>348230000000000</v>
      </c>
      <c r="AV86" s="5">
        <v>1.6609E+16</v>
      </c>
      <c r="AW86" s="5">
        <v>297300000000000</v>
      </c>
      <c r="AX86" s="5">
        <v>1.5637E+16</v>
      </c>
      <c r="AY86" s="5">
        <v>258020000000000</v>
      </c>
      <c r="AZ86" s="5">
        <v>1.3391E+16</v>
      </c>
      <c r="BA86" s="5">
        <v>220950000000000</v>
      </c>
      <c r="BB86" s="5">
        <v>1.0006E+16</v>
      </c>
      <c r="BC86" s="5">
        <v>160100000000000</v>
      </c>
      <c r="BD86" s="5">
        <v>7085500000000000</v>
      </c>
      <c r="BE86" s="5">
        <v>120450000000000</v>
      </c>
      <c r="BF86" s="5">
        <v>4674200000000000</v>
      </c>
      <c r="BG86" s="5">
        <v>85537000000000</v>
      </c>
      <c r="BH86" s="5">
        <v>2962100000000000</v>
      </c>
      <c r="BI86" s="5">
        <v>61908000000000</v>
      </c>
      <c r="BJ86" s="5">
        <v>2046700000000000</v>
      </c>
      <c r="BK86" s="5">
        <v>48506000000000</v>
      </c>
      <c r="BL86" s="5">
        <v>1398600000000000</v>
      </c>
      <c r="BM86" s="5">
        <v>39999000000000</v>
      </c>
      <c r="BN86" s="5">
        <v>972600000000000</v>
      </c>
      <c r="BO86" s="5">
        <v>35694000000000</v>
      </c>
      <c r="BP86" s="5">
        <v>654210000000000</v>
      </c>
      <c r="BQ86" s="5">
        <v>25907000000000</v>
      </c>
      <c r="BR86" s="5">
        <v>394580000000000</v>
      </c>
      <c r="BS86" s="5">
        <v>18979000000000</v>
      </c>
      <c r="BT86" s="5">
        <v>253050000000000</v>
      </c>
      <c r="BU86" s="5">
        <v>14120000000000</v>
      </c>
      <c r="BV86" s="5">
        <v>169490000000000</v>
      </c>
      <c r="BW86" s="5">
        <v>11051000000000</v>
      </c>
      <c r="BX86" s="5">
        <v>112470000000000</v>
      </c>
      <c r="BY86" s="5">
        <v>7591600000000</v>
      </c>
      <c r="BZ86" s="5">
        <v>87150000000000</v>
      </c>
      <c r="CA86" s="5">
        <v>5420800000000</v>
      </c>
      <c r="CB86" s="5">
        <v>63969000000000</v>
      </c>
      <c r="CC86" s="5">
        <v>3787000000000</v>
      </c>
      <c r="CD86" s="5">
        <v>46930000000000</v>
      </c>
      <c r="CE86" s="5">
        <v>2393400000000</v>
      </c>
      <c r="CF86" s="5">
        <v>33179000000000</v>
      </c>
      <c r="CG86" s="5">
        <v>1791700000000</v>
      </c>
      <c r="CH86" s="5">
        <v>21371000000000</v>
      </c>
      <c r="CI86" s="5">
        <v>1188200000000</v>
      </c>
      <c r="CJ86" s="5">
        <v>18732000000000</v>
      </c>
      <c r="CK86" s="5">
        <v>959090000000</v>
      </c>
      <c r="CL86" s="5">
        <v>14614000000000</v>
      </c>
      <c r="CM86" s="5">
        <v>790620000000</v>
      </c>
      <c r="CN86" s="5">
        <v>9325800000000</v>
      </c>
      <c r="CO86" s="5">
        <v>515720000000</v>
      </c>
      <c r="CP86" s="5">
        <v>5401200000000</v>
      </c>
      <c r="CQ86" s="5">
        <v>311110000000</v>
      </c>
      <c r="CR86" s="5">
        <v>3165900000000</v>
      </c>
      <c r="CS86" s="5">
        <v>249470000000</v>
      </c>
      <c r="CT86" s="5">
        <v>2565000000000</v>
      </c>
      <c r="CU86" s="5">
        <v>189550000000</v>
      </c>
      <c r="CV86" s="5">
        <v>2801800000000</v>
      </c>
      <c r="CW86" s="5">
        <v>160820000000</v>
      </c>
      <c r="CX86" s="5">
        <v>2292600000000</v>
      </c>
      <c r="CY86" s="5">
        <v>130450000000</v>
      </c>
      <c r="CZ86" s="5">
        <v>1555300000000</v>
      </c>
      <c r="DA86" s="5">
        <v>94407000000</v>
      </c>
      <c r="DB86" s="5">
        <v>1072200000000</v>
      </c>
      <c r="DC86" s="5">
        <v>72162000000</v>
      </c>
      <c r="DD86" s="5">
        <v>531560000000</v>
      </c>
      <c r="DE86" s="5">
        <v>45661000000</v>
      </c>
      <c r="DF86" s="5">
        <v>422300000000</v>
      </c>
      <c r="DG86" s="5">
        <v>32222000000</v>
      </c>
      <c r="DH86" s="5">
        <v>165410000000</v>
      </c>
      <c r="DI86" s="5">
        <v>21884000000</v>
      </c>
      <c r="DJ86" s="5">
        <v>89426000000</v>
      </c>
      <c r="DK86" s="5">
        <v>11455000000</v>
      </c>
      <c r="DL86" s="5">
        <v>53818000000</v>
      </c>
      <c r="DM86" s="5">
        <v>19929000000</v>
      </c>
      <c r="DN86" s="5">
        <v>14472000000</v>
      </c>
      <c r="DO86" s="5">
        <v>2840900000</v>
      </c>
      <c r="DP86" s="5">
        <v>7036800000</v>
      </c>
      <c r="DQ86" s="5">
        <v>2219400000</v>
      </c>
      <c r="DR86" s="5">
        <v>4131800000</v>
      </c>
      <c r="DS86" s="5">
        <v>1930800000</v>
      </c>
      <c r="DT86" s="5">
        <v>1106100000</v>
      </c>
      <c r="DU86" s="5">
        <v>588780000</v>
      </c>
      <c r="DV86" s="5">
        <v>121320000</v>
      </c>
      <c r="DW86" s="5">
        <v>91096000</v>
      </c>
      <c r="DX86" s="5">
        <v>55177000</v>
      </c>
      <c r="DY86" s="5">
        <v>55177000</v>
      </c>
      <c r="DZ86" s="5">
        <v>0</v>
      </c>
      <c r="EA86" s="5">
        <v>0</v>
      </c>
      <c r="EB86" s="5">
        <v>0</v>
      </c>
      <c r="EC86" s="5">
        <v>0</v>
      </c>
      <c r="ED86" s="5">
        <v>0</v>
      </c>
      <c r="EE86" s="5">
        <v>0</v>
      </c>
      <c r="EF86" s="5">
        <v>0</v>
      </c>
      <c r="EG86" s="5">
        <v>0</v>
      </c>
      <c r="EH86" s="5">
        <v>0</v>
      </c>
      <c r="EI86" s="5">
        <v>0</v>
      </c>
      <c r="EJ86" s="5">
        <v>0</v>
      </c>
      <c r="EK86" s="5">
        <v>0</v>
      </c>
      <c r="EL86" s="5">
        <v>0</v>
      </c>
      <c r="EM86" s="5">
        <v>0</v>
      </c>
      <c r="EN86" s="5">
        <v>0</v>
      </c>
      <c r="EO86" s="5">
        <v>0</v>
      </c>
      <c r="EP86" s="5">
        <v>0</v>
      </c>
      <c r="EQ86" s="5">
        <v>0</v>
      </c>
    </row>
    <row r="87" spans="1:147">
      <c r="A87" s="5"/>
      <c r="B87" s="5"/>
      <c r="C87" s="5"/>
      <c r="D87" s="5"/>
      <c r="E87" s="5">
        <v>15337000000000</v>
      </c>
      <c r="F87" s="5">
        <v>0</v>
      </c>
      <c r="G87" s="5">
        <v>0</v>
      </c>
      <c r="H87" s="5">
        <v>0</v>
      </c>
      <c r="I87" s="5">
        <v>0</v>
      </c>
      <c r="J87" s="5">
        <v>7685900000000</v>
      </c>
      <c r="K87" s="5">
        <v>7685900000000</v>
      </c>
      <c r="L87" s="5">
        <v>145520000000000</v>
      </c>
      <c r="M87" s="5">
        <v>133600000000000</v>
      </c>
      <c r="N87" s="5">
        <v>154750000000000</v>
      </c>
      <c r="O87" s="5">
        <v>135710000000000</v>
      </c>
      <c r="P87" s="5">
        <v>138930000000000</v>
      </c>
      <c r="Q87" s="5">
        <v>123730000000000</v>
      </c>
      <c r="R87" s="5">
        <v>286170000000000</v>
      </c>
      <c r="S87" s="5">
        <v>152300000000000</v>
      </c>
      <c r="T87" s="5">
        <v>168150000000000</v>
      </c>
      <c r="U87" s="5">
        <v>81470000000000</v>
      </c>
      <c r="V87" s="5">
        <v>203430000000000</v>
      </c>
      <c r="W87" s="5">
        <v>78708000000000</v>
      </c>
      <c r="X87" s="5">
        <v>986710000000000</v>
      </c>
      <c r="Y87" s="5">
        <v>282990000000000</v>
      </c>
      <c r="Z87" s="5">
        <v>1527900000000000</v>
      </c>
      <c r="AA87" s="5">
        <v>236070000000000</v>
      </c>
      <c r="AB87" s="5">
        <v>1918200000000000</v>
      </c>
      <c r="AC87" s="5">
        <v>232300000000000</v>
      </c>
      <c r="AD87" s="5">
        <v>2144500000000000</v>
      </c>
      <c r="AE87" s="5">
        <v>225170000000000</v>
      </c>
      <c r="AF87" s="5">
        <v>3862300000000000</v>
      </c>
      <c r="AG87" s="5">
        <v>288120000000000</v>
      </c>
      <c r="AH87" s="5">
        <v>5165200000000000</v>
      </c>
      <c r="AI87" s="5">
        <v>284090000000000</v>
      </c>
      <c r="AJ87" s="5">
        <v>6075700000000000</v>
      </c>
      <c r="AK87" s="5">
        <v>294670000000000</v>
      </c>
      <c r="AL87" s="5">
        <v>8329800000000000</v>
      </c>
      <c r="AM87" s="5">
        <v>324030000000000</v>
      </c>
      <c r="AN87" s="5">
        <v>1.1645E+16</v>
      </c>
      <c r="AO87" s="5">
        <v>335370000000000</v>
      </c>
      <c r="AP87" s="5">
        <v>1.3934E+16</v>
      </c>
      <c r="AQ87" s="5">
        <v>348360000000000</v>
      </c>
      <c r="AR87" s="5">
        <v>1.7661E+16</v>
      </c>
      <c r="AS87" s="5">
        <v>356760000000000</v>
      </c>
      <c r="AT87" s="5">
        <v>1.912E+16</v>
      </c>
      <c r="AU87" s="5">
        <v>344160000000000</v>
      </c>
      <c r="AV87" s="5">
        <v>1.8689E+16</v>
      </c>
      <c r="AW87" s="5">
        <v>312110000000000</v>
      </c>
      <c r="AX87" s="5">
        <v>1.6411E+16</v>
      </c>
      <c r="AY87" s="5">
        <v>256000000000000</v>
      </c>
      <c r="AZ87" s="5">
        <v>1.2969E+16</v>
      </c>
      <c r="BA87" s="5">
        <v>191950000000000</v>
      </c>
      <c r="BB87" s="5">
        <v>9335600000000000</v>
      </c>
      <c r="BC87" s="5">
        <v>141900000000000</v>
      </c>
      <c r="BD87" s="5">
        <v>5838000000000000</v>
      </c>
      <c r="BE87" s="5">
        <v>101000000000000</v>
      </c>
      <c r="BF87" s="5">
        <v>3297000000000000</v>
      </c>
      <c r="BG87" s="5">
        <v>62973000000000</v>
      </c>
      <c r="BH87" s="5">
        <v>2150700000000000</v>
      </c>
      <c r="BI87" s="5">
        <v>47960000000000</v>
      </c>
      <c r="BJ87" s="5">
        <v>1281000000000000</v>
      </c>
      <c r="BK87" s="5">
        <v>35100000000000</v>
      </c>
      <c r="BL87" s="5">
        <v>927850000000000</v>
      </c>
      <c r="BM87" s="5">
        <v>32475000000000</v>
      </c>
      <c r="BN87" s="5">
        <v>572160000000000</v>
      </c>
      <c r="BO87" s="5">
        <v>22371000000000</v>
      </c>
      <c r="BP87" s="5">
        <v>453600000000000</v>
      </c>
      <c r="BQ87" s="5">
        <v>22998000000000</v>
      </c>
      <c r="BR87" s="5">
        <v>264020000000000</v>
      </c>
      <c r="BS87" s="5">
        <v>13439000000000</v>
      </c>
      <c r="BT87" s="5">
        <v>167200000000000</v>
      </c>
      <c r="BU87" s="5">
        <v>10500000000000</v>
      </c>
      <c r="BV87" s="5">
        <v>99208000000000</v>
      </c>
      <c r="BW87" s="5">
        <v>6379100000000</v>
      </c>
      <c r="BX87" s="5">
        <v>78467000000000</v>
      </c>
      <c r="BY87" s="5">
        <v>4817800000000</v>
      </c>
      <c r="BZ87" s="5">
        <v>65332000000000</v>
      </c>
      <c r="CA87" s="5">
        <v>5703500000000</v>
      </c>
      <c r="CB87" s="5">
        <v>54260000000000</v>
      </c>
      <c r="CC87" s="5">
        <v>5534500000000</v>
      </c>
      <c r="CD87" s="5">
        <v>36019000000000</v>
      </c>
      <c r="CE87" s="5">
        <v>2056700000000</v>
      </c>
      <c r="CF87" s="5">
        <v>24880000000000</v>
      </c>
      <c r="CG87" s="5">
        <v>1378400000000</v>
      </c>
      <c r="CH87" s="5">
        <v>16506000000000</v>
      </c>
      <c r="CI87" s="5">
        <v>1101000000000</v>
      </c>
      <c r="CJ87" s="5">
        <v>13359000000000</v>
      </c>
      <c r="CK87" s="5">
        <v>798850000000</v>
      </c>
      <c r="CL87" s="5">
        <v>9771800000000</v>
      </c>
      <c r="CM87" s="5">
        <v>525720000000</v>
      </c>
      <c r="CN87" s="5">
        <v>7388300000000</v>
      </c>
      <c r="CO87" s="5">
        <v>469900000000</v>
      </c>
      <c r="CP87" s="5">
        <v>4077100000000</v>
      </c>
      <c r="CQ87" s="5">
        <v>312310000000</v>
      </c>
      <c r="CR87" s="5">
        <v>2353700000000</v>
      </c>
      <c r="CS87" s="5">
        <v>185230000000</v>
      </c>
      <c r="CT87" s="5">
        <v>1759200000000</v>
      </c>
      <c r="CU87" s="5">
        <v>160610000000</v>
      </c>
      <c r="CV87" s="5">
        <v>1959300000000</v>
      </c>
      <c r="CW87" s="5">
        <v>119910000000</v>
      </c>
      <c r="CX87" s="5">
        <v>1406900000000</v>
      </c>
      <c r="CY87" s="5">
        <v>85260000000</v>
      </c>
      <c r="CZ87" s="5">
        <v>1033100000000</v>
      </c>
      <c r="DA87" s="5">
        <v>63744000000</v>
      </c>
      <c r="DB87" s="5">
        <v>557140000000</v>
      </c>
      <c r="DC87" s="5">
        <v>38053000000</v>
      </c>
      <c r="DD87" s="5">
        <v>365170000000</v>
      </c>
      <c r="DE87" s="5">
        <v>38270000000</v>
      </c>
      <c r="DF87" s="5">
        <v>196680000000</v>
      </c>
      <c r="DG87" s="5">
        <v>19255000000</v>
      </c>
      <c r="DH87" s="5">
        <v>75720000000</v>
      </c>
      <c r="DI87" s="5">
        <v>8692600000</v>
      </c>
      <c r="DJ87" s="5">
        <v>47445000000</v>
      </c>
      <c r="DK87" s="5">
        <v>7221100000</v>
      </c>
      <c r="DL87" s="5">
        <v>13330000000</v>
      </c>
      <c r="DM87" s="5">
        <v>3600500000</v>
      </c>
      <c r="DN87" s="5">
        <v>10105000000</v>
      </c>
      <c r="DO87" s="5">
        <v>7030000000</v>
      </c>
      <c r="DP87" s="5">
        <v>7213600000</v>
      </c>
      <c r="DQ87" s="5">
        <v>4955100000</v>
      </c>
      <c r="DR87" s="5">
        <v>525560000</v>
      </c>
      <c r="DS87" s="5">
        <v>412360000</v>
      </c>
      <c r="DT87" s="5">
        <v>544150000</v>
      </c>
      <c r="DU87" s="5">
        <v>376820000</v>
      </c>
      <c r="DV87" s="5">
        <v>212810000</v>
      </c>
      <c r="DW87" s="5">
        <v>191700000</v>
      </c>
      <c r="DX87" s="5">
        <v>0</v>
      </c>
      <c r="DY87" s="5">
        <v>0</v>
      </c>
      <c r="DZ87" s="5">
        <v>0</v>
      </c>
      <c r="EA87" s="5">
        <v>0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0</v>
      </c>
      <c r="EQ87" s="5">
        <v>0</v>
      </c>
    </row>
    <row r="88" spans="1:147">
      <c r="A88" s="5"/>
      <c r="B88" s="5"/>
      <c r="C88" s="5"/>
      <c r="D88" s="5"/>
      <c r="E88" s="5">
        <v>0</v>
      </c>
      <c r="F88" s="5">
        <v>10885000000000</v>
      </c>
      <c r="G88" s="5">
        <v>10885000000000</v>
      </c>
      <c r="H88" s="5">
        <v>8622400000000</v>
      </c>
      <c r="I88" s="5">
        <v>8622400000000</v>
      </c>
      <c r="J88" s="5">
        <v>6852500000000</v>
      </c>
      <c r="K88" s="5">
        <v>6852500000000</v>
      </c>
      <c r="L88" s="5">
        <v>171860000000000</v>
      </c>
      <c r="M88" s="5">
        <v>155820000000000</v>
      </c>
      <c r="N88" s="5">
        <v>51056000000000</v>
      </c>
      <c r="O88" s="5">
        <v>17752000000000</v>
      </c>
      <c r="P88" s="5">
        <v>308430000000000</v>
      </c>
      <c r="Q88" s="5">
        <v>169240000000000</v>
      </c>
      <c r="R88" s="5">
        <v>262520000000000</v>
      </c>
      <c r="S88" s="5">
        <v>133550000000000</v>
      </c>
      <c r="T88" s="5">
        <v>166960000000000</v>
      </c>
      <c r="U88" s="5">
        <v>82244000000000</v>
      </c>
      <c r="V88" s="5">
        <v>1205500000000000</v>
      </c>
      <c r="W88" s="5">
        <v>245440000000000</v>
      </c>
      <c r="X88" s="5">
        <v>932880000000000</v>
      </c>
      <c r="Y88" s="5">
        <v>173140000000000</v>
      </c>
      <c r="Z88" s="5">
        <v>2073900000000000</v>
      </c>
      <c r="AA88" s="5">
        <v>298010000000000</v>
      </c>
      <c r="AB88" s="5">
        <v>2027000000000000</v>
      </c>
      <c r="AC88" s="5">
        <v>220330000000000</v>
      </c>
      <c r="AD88" s="5">
        <v>2468300000000000</v>
      </c>
      <c r="AE88" s="5">
        <v>225110000000000</v>
      </c>
      <c r="AF88" s="5">
        <v>4623700000000000</v>
      </c>
      <c r="AG88" s="5">
        <v>276030000000000</v>
      </c>
      <c r="AH88" s="5">
        <v>6427100000000000</v>
      </c>
      <c r="AI88" s="5">
        <v>295650000000000</v>
      </c>
      <c r="AJ88" s="5">
        <v>8128900000000000</v>
      </c>
      <c r="AK88" s="5">
        <v>334910000000000</v>
      </c>
      <c r="AL88" s="5">
        <v>1.065E+16</v>
      </c>
      <c r="AM88" s="5">
        <v>326960000000000</v>
      </c>
      <c r="AN88" s="5">
        <v>1.381E+16</v>
      </c>
      <c r="AO88" s="5">
        <v>338340000000000</v>
      </c>
      <c r="AP88" s="5">
        <v>1.5953E+16</v>
      </c>
      <c r="AQ88" s="5">
        <v>355760000000000</v>
      </c>
      <c r="AR88" s="5">
        <v>2.0686E+16</v>
      </c>
      <c r="AS88" s="5">
        <v>370280000000000</v>
      </c>
      <c r="AT88" s="5">
        <v>2.1158E+16</v>
      </c>
      <c r="AU88" s="5">
        <v>342760000000000</v>
      </c>
      <c r="AV88" s="5">
        <v>2.0505E+16</v>
      </c>
      <c r="AW88" s="5">
        <v>305530000000000</v>
      </c>
      <c r="AX88" s="5">
        <v>1.6673E+16</v>
      </c>
      <c r="AY88" s="5">
        <v>235090000000000</v>
      </c>
      <c r="AZ88" s="5">
        <v>1.2292E+16</v>
      </c>
      <c r="BA88" s="5">
        <v>169630000000000</v>
      </c>
      <c r="BB88" s="5">
        <v>7752100000000000</v>
      </c>
      <c r="BC88" s="5">
        <v>108530000000000</v>
      </c>
      <c r="BD88" s="5">
        <v>4348100000000000</v>
      </c>
      <c r="BE88" s="5">
        <v>73918000000000</v>
      </c>
      <c r="BF88" s="5">
        <v>2334500000000000</v>
      </c>
      <c r="BG88" s="5">
        <v>50192000000000</v>
      </c>
      <c r="BH88" s="5">
        <v>1374400000000000</v>
      </c>
      <c r="BI88" s="5">
        <v>39720000000000</v>
      </c>
      <c r="BJ88" s="5">
        <v>914090000000000</v>
      </c>
      <c r="BK88" s="5">
        <v>28611000000000</v>
      </c>
      <c r="BL88" s="5">
        <v>622510000000000</v>
      </c>
      <c r="BM88" s="5">
        <v>24589000000000</v>
      </c>
      <c r="BN88" s="5">
        <v>380950000000000</v>
      </c>
      <c r="BO88" s="5">
        <v>18057000000000</v>
      </c>
      <c r="BP88" s="5">
        <v>261190000000000</v>
      </c>
      <c r="BQ88" s="5">
        <v>12119000000000</v>
      </c>
      <c r="BR88" s="5">
        <v>181000000000000</v>
      </c>
      <c r="BS88" s="5">
        <v>10227000000000</v>
      </c>
      <c r="BT88" s="5">
        <v>124240000000000</v>
      </c>
      <c r="BU88" s="5">
        <v>9603900000000</v>
      </c>
      <c r="BV88" s="5">
        <v>74848000000000</v>
      </c>
      <c r="BW88" s="5">
        <v>5688500000000</v>
      </c>
      <c r="BX88" s="5">
        <v>63287000000000</v>
      </c>
      <c r="BY88" s="5">
        <v>6373000000000</v>
      </c>
      <c r="BZ88" s="5">
        <v>39578000000000</v>
      </c>
      <c r="CA88" s="5">
        <v>2687400000000</v>
      </c>
      <c r="CB88" s="5">
        <v>33745000000000</v>
      </c>
      <c r="CC88" s="5">
        <v>2865000000000</v>
      </c>
      <c r="CD88" s="5">
        <v>26850000000000</v>
      </c>
      <c r="CE88" s="5">
        <v>1906300000000</v>
      </c>
      <c r="CF88" s="5">
        <v>18828000000000</v>
      </c>
      <c r="CG88" s="5">
        <v>1035600000000</v>
      </c>
      <c r="CH88" s="5">
        <v>12224000000000</v>
      </c>
      <c r="CI88" s="5">
        <v>801900000000</v>
      </c>
      <c r="CJ88" s="5">
        <v>10644000000000</v>
      </c>
      <c r="CK88" s="5">
        <v>652460000000</v>
      </c>
      <c r="CL88" s="5">
        <v>7631200000000</v>
      </c>
      <c r="CM88" s="5">
        <v>456340000000</v>
      </c>
      <c r="CN88" s="5">
        <v>4865100000000</v>
      </c>
      <c r="CO88" s="5">
        <v>307960000000</v>
      </c>
      <c r="CP88" s="5">
        <v>2871400000000</v>
      </c>
      <c r="CQ88" s="5">
        <v>202720000000</v>
      </c>
      <c r="CR88" s="5">
        <v>1744000000000</v>
      </c>
      <c r="CS88" s="5">
        <v>166720000000</v>
      </c>
      <c r="CT88" s="5">
        <v>1044800000000</v>
      </c>
      <c r="CU88" s="5">
        <v>84941000000</v>
      </c>
      <c r="CV88" s="5">
        <v>1243300000000</v>
      </c>
      <c r="CW88" s="5">
        <v>78576000000</v>
      </c>
      <c r="CX88" s="5">
        <v>1110800000000</v>
      </c>
      <c r="CY88" s="5">
        <v>91309000000</v>
      </c>
      <c r="CZ88" s="5">
        <v>749240000000</v>
      </c>
      <c r="DA88" s="5">
        <v>52672000000</v>
      </c>
      <c r="DB88" s="5">
        <v>352090000000</v>
      </c>
      <c r="DC88" s="5">
        <v>29012000000</v>
      </c>
      <c r="DD88" s="5">
        <v>220030000000</v>
      </c>
      <c r="DE88" s="5">
        <v>22267000000</v>
      </c>
      <c r="DF88" s="5">
        <v>94564000000</v>
      </c>
      <c r="DG88" s="5">
        <v>11603000000</v>
      </c>
      <c r="DH88" s="5">
        <v>32144000000</v>
      </c>
      <c r="DI88" s="5">
        <v>5072300000</v>
      </c>
      <c r="DJ88" s="5">
        <v>14507000000</v>
      </c>
      <c r="DK88" s="5">
        <v>3725500000</v>
      </c>
      <c r="DL88" s="5">
        <v>3003500000</v>
      </c>
      <c r="DM88" s="5">
        <v>859300000</v>
      </c>
      <c r="DN88" s="5">
        <v>2076400000</v>
      </c>
      <c r="DO88" s="5">
        <v>965960000</v>
      </c>
      <c r="DP88" s="5">
        <v>439710000</v>
      </c>
      <c r="DQ88" s="5">
        <v>171310000</v>
      </c>
      <c r="DR88" s="5">
        <v>140290000</v>
      </c>
      <c r="DS88" s="5">
        <v>83685000</v>
      </c>
      <c r="DT88" s="5">
        <v>0</v>
      </c>
      <c r="DU88" s="5">
        <v>0</v>
      </c>
      <c r="DV88" s="5">
        <v>0</v>
      </c>
      <c r="DW88" s="5">
        <v>0</v>
      </c>
      <c r="DX88" s="5">
        <v>0</v>
      </c>
      <c r="DY88" s="5">
        <v>0</v>
      </c>
      <c r="DZ88" s="5">
        <v>0</v>
      </c>
      <c r="EA88" s="5">
        <v>0</v>
      </c>
      <c r="EB88" s="5">
        <v>0</v>
      </c>
      <c r="EC88" s="5">
        <v>0</v>
      </c>
      <c r="ED88" s="5">
        <v>0</v>
      </c>
      <c r="EE88" s="5">
        <v>0</v>
      </c>
      <c r="EF88" s="5">
        <v>0</v>
      </c>
      <c r="EG88" s="5">
        <v>0</v>
      </c>
      <c r="EH88" s="5">
        <v>0</v>
      </c>
      <c r="EI88" s="5">
        <v>0</v>
      </c>
      <c r="EJ88" s="5">
        <v>0</v>
      </c>
      <c r="EK88" s="5">
        <v>0</v>
      </c>
      <c r="EL88" s="5">
        <v>0</v>
      </c>
      <c r="EM88" s="5">
        <v>0</v>
      </c>
      <c r="EN88" s="5">
        <v>0</v>
      </c>
      <c r="EO88" s="5">
        <v>0</v>
      </c>
      <c r="EP88" s="5">
        <v>0</v>
      </c>
      <c r="EQ88" s="5">
        <v>0</v>
      </c>
    </row>
    <row r="89" spans="1:147">
      <c r="A89" s="5"/>
      <c r="B89" s="5"/>
      <c r="C89" s="5"/>
      <c r="D89" s="5"/>
      <c r="E89" s="5">
        <v>18000000000000</v>
      </c>
      <c r="F89" s="5">
        <v>9702400000000</v>
      </c>
      <c r="G89" s="5">
        <v>9702400000000</v>
      </c>
      <c r="H89" s="5">
        <v>110790000000000</v>
      </c>
      <c r="I89" s="5">
        <v>110790000000000</v>
      </c>
      <c r="J89" s="5">
        <v>158280000000000</v>
      </c>
      <c r="K89" s="5">
        <v>146310000000000</v>
      </c>
      <c r="L89" s="5">
        <v>113460000000000</v>
      </c>
      <c r="M89" s="5">
        <v>103990000000000</v>
      </c>
      <c r="N89" s="5">
        <v>92452000000000</v>
      </c>
      <c r="O89" s="5">
        <v>77429000000000</v>
      </c>
      <c r="P89" s="5">
        <v>113900000000000</v>
      </c>
      <c r="Q89" s="5">
        <v>67043000000000</v>
      </c>
      <c r="R89" s="5">
        <v>395240000000000</v>
      </c>
      <c r="S89" s="5">
        <v>156400000000000</v>
      </c>
      <c r="T89" s="5">
        <v>503190000000000</v>
      </c>
      <c r="U89" s="5">
        <v>160220000000000</v>
      </c>
      <c r="V89" s="5">
        <v>1469500000000000</v>
      </c>
      <c r="W89" s="5">
        <v>249230000000000</v>
      </c>
      <c r="X89" s="5">
        <v>1205900000000000</v>
      </c>
      <c r="Y89" s="5">
        <v>197170000000000</v>
      </c>
      <c r="Z89" s="5">
        <v>1653300000000000</v>
      </c>
      <c r="AA89" s="5">
        <v>206010000000000</v>
      </c>
      <c r="AB89" s="5">
        <v>2341900000000000</v>
      </c>
      <c r="AC89" s="5">
        <v>220370000000000</v>
      </c>
      <c r="AD89" s="5">
        <v>3520400000000000</v>
      </c>
      <c r="AE89" s="5">
        <v>276350000000000</v>
      </c>
      <c r="AF89" s="5">
        <v>6389600000000000</v>
      </c>
      <c r="AG89" s="5">
        <v>322040000000000</v>
      </c>
      <c r="AH89" s="5">
        <v>7645000000000000</v>
      </c>
      <c r="AI89" s="5">
        <v>327970000000000</v>
      </c>
      <c r="AJ89" s="5">
        <v>1.052E+16</v>
      </c>
      <c r="AK89" s="5">
        <v>353490000000000</v>
      </c>
      <c r="AL89" s="5">
        <v>1.2197E+16</v>
      </c>
      <c r="AM89" s="5">
        <v>326890000000000</v>
      </c>
      <c r="AN89" s="5">
        <v>1.6696E+16</v>
      </c>
      <c r="AO89" s="5">
        <v>367320000000000</v>
      </c>
      <c r="AP89" s="5">
        <v>1.7708E+16</v>
      </c>
      <c r="AQ89" s="5">
        <v>347070000000000</v>
      </c>
      <c r="AR89" s="5">
        <v>2.3059E+16</v>
      </c>
      <c r="AS89" s="5">
        <v>362030000000000</v>
      </c>
      <c r="AT89" s="5">
        <v>2.3963E+16</v>
      </c>
      <c r="AU89" s="5">
        <v>345070000000000</v>
      </c>
      <c r="AV89" s="5">
        <v>2.1665E+16</v>
      </c>
      <c r="AW89" s="5">
        <v>283810000000000</v>
      </c>
      <c r="AX89" s="5">
        <v>1.5926E+16</v>
      </c>
      <c r="AY89" s="5">
        <v>207040000000000</v>
      </c>
      <c r="AZ89" s="5">
        <v>1.0996E+16</v>
      </c>
      <c r="BA89" s="5">
        <v>139650000000000</v>
      </c>
      <c r="BB89" s="5">
        <v>6227900000000000</v>
      </c>
      <c r="BC89" s="5">
        <v>87813000000000</v>
      </c>
      <c r="BD89" s="5">
        <v>3278600000000000</v>
      </c>
      <c r="BE89" s="5">
        <v>67540000000000</v>
      </c>
      <c r="BF89" s="5">
        <v>1542400000000000</v>
      </c>
      <c r="BG89" s="5">
        <v>34550000000000</v>
      </c>
      <c r="BH89" s="5">
        <v>851620000000000</v>
      </c>
      <c r="BI89" s="5">
        <v>25123000000000</v>
      </c>
      <c r="BJ89" s="5">
        <v>490700000000000</v>
      </c>
      <c r="BK89" s="5">
        <v>18401000000000</v>
      </c>
      <c r="BL89" s="5">
        <v>338170000000000</v>
      </c>
      <c r="BM89" s="5">
        <v>14643000000000</v>
      </c>
      <c r="BN89" s="5">
        <v>270130000000000</v>
      </c>
      <c r="BO89" s="5">
        <v>13426000000000</v>
      </c>
      <c r="BP89" s="5">
        <v>201640000000000</v>
      </c>
      <c r="BQ89" s="5">
        <v>11453000000000</v>
      </c>
      <c r="BR89" s="5">
        <v>122940000000000</v>
      </c>
      <c r="BS89" s="5">
        <v>7376400000000</v>
      </c>
      <c r="BT89" s="5">
        <v>80580000000000</v>
      </c>
      <c r="BU89" s="5">
        <v>6051500000000</v>
      </c>
      <c r="BV89" s="5">
        <v>51016000000000</v>
      </c>
      <c r="BW89" s="5">
        <v>3974200000000</v>
      </c>
      <c r="BX89" s="5">
        <v>42990000000000</v>
      </c>
      <c r="BY89" s="5">
        <v>4393600000000</v>
      </c>
      <c r="BZ89" s="5">
        <v>32496000000000</v>
      </c>
      <c r="CA89" s="5">
        <v>2807700000000</v>
      </c>
      <c r="CB89" s="5">
        <v>24472000000000</v>
      </c>
      <c r="CC89" s="5">
        <v>2038500000000</v>
      </c>
      <c r="CD89" s="5">
        <v>20826000000000</v>
      </c>
      <c r="CE89" s="5">
        <v>1253700000000</v>
      </c>
      <c r="CF89" s="5">
        <v>12365000000000</v>
      </c>
      <c r="CG89" s="5">
        <v>825970000000</v>
      </c>
      <c r="CH89" s="5">
        <v>8181800000000</v>
      </c>
      <c r="CI89" s="5">
        <v>593180000000</v>
      </c>
      <c r="CJ89" s="5">
        <v>6351700000000</v>
      </c>
      <c r="CK89" s="5">
        <v>367760000000</v>
      </c>
      <c r="CL89" s="5">
        <v>5487900000000</v>
      </c>
      <c r="CM89" s="5">
        <v>350130000000</v>
      </c>
      <c r="CN89" s="5">
        <v>2987600000000</v>
      </c>
      <c r="CO89" s="5">
        <v>206740000000</v>
      </c>
      <c r="CP89" s="5">
        <v>1909200000000</v>
      </c>
      <c r="CQ89" s="5">
        <v>171060000000</v>
      </c>
      <c r="CR89" s="5">
        <v>818860000000</v>
      </c>
      <c r="CS89" s="5">
        <v>77710000000</v>
      </c>
      <c r="CT89" s="5">
        <v>831470000000</v>
      </c>
      <c r="CU89" s="5">
        <v>96450000000</v>
      </c>
      <c r="CV89" s="5">
        <v>908790000000</v>
      </c>
      <c r="CW89" s="5">
        <v>63070000000</v>
      </c>
      <c r="CX89" s="5">
        <v>637980000000</v>
      </c>
      <c r="CY89" s="5">
        <v>43957000000</v>
      </c>
      <c r="CZ89" s="5">
        <v>473400000000</v>
      </c>
      <c r="DA89" s="5">
        <v>41896000000</v>
      </c>
      <c r="DB89" s="5">
        <v>219390000000</v>
      </c>
      <c r="DC89" s="5">
        <v>32009000000</v>
      </c>
      <c r="DD89" s="5">
        <v>91444000000</v>
      </c>
      <c r="DE89" s="5">
        <v>12007000000</v>
      </c>
      <c r="DF89" s="5">
        <v>53790000000</v>
      </c>
      <c r="DG89" s="5">
        <v>8133000000</v>
      </c>
      <c r="DH89" s="5">
        <v>15709000000</v>
      </c>
      <c r="DI89" s="5">
        <v>3162300000</v>
      </c>
      <c r="DJ89" s="5">
        <v>8607200000</v>
      </c>
      <c r="DK89" s="5">
        <v>2670800000</v>
      </c>
      <c r="DL89" s="5">
        <v>3396100000</v>
      </c>
      <c r="DM89" s="5">
        <v>1278600000</v>
      </c>
      <c r="DN89" s="5">
        <v>2492200000</v>
      </c>
      <c r="DO89" s="5">
        <v>1409600000</v>
      </c>
      <c r="DP89" s="5">
        <v>772170000</v>
      </c>
      <c r="DQ89" s="5">
        <v>705150000</v>
      </c>
      <c r="DR89" s="5">
        <v>0</v>
      </c>
      <c r="DS89" s="5">
        <v>0</v>
      </c>
      <c r="DT89" s="5">
        <v>0</v>
      </c>
      <c r="DU89" s="5">
        <v>0</v>
      </c>
      <c r="DV89" s="5">
        <v>0</v>
      </c>
      <c r="DW89" s="5">
        <v>0</v>
      </c>
      <c r="DX89" s="5">
        <v>0</v>
      </c>
      <c r="DY89" s="5">
        <v>0</v>
      </c>
      <c r="DZ89" s="5">
        <v>0</v>
      </c>
      <c r="EA89" s="5">
        <v>0</v>
      </c>
      <c r="EB89" s="5">
        <v>0</v>
      </c>
      <c r="EC89" s="5">
        <v>0</v>
      </c>
      <c r="ED89" s="5">
        <v>0</v>
      </c>
      <c r="EE89" s="5">
        <v>0</v>
      </c>
      <c r="EF89" s="5">
        <v>0</v>
      </c>
      <c r="EG89" s="5">
        <v>0</v>
      </c>
      <c r="EH89" s="5">
        <v>0</v>
      </c>
      <c r="EI89" s="5">
        <v>0</v>
      </c>
      <c r="EJ89" s="5">
        <v>0</v>
      </c>
      <c r="EK89" s="5">
        <v>0</v>
      </c>
      <c r="EL89" s="5">
        <v>0</v>
      </c>
      <c r="EM89" s="5">
        <v>0</v>
      </c>
      <c r="EN89" s="5">
        <v>0</v>
      </c>
      <c r="EO89" s="5">
        <v>0</v>
      </c>
      <c r="EP89" s="5">
        <v>0</v>
      </c>
      <c r="EQ89" s="5">
        <v>0</v>
      </c>
    </row>
    <row r="90" spans="1:147">
      <c r="A90" s="5"/>
      <c r="B90" s="5"/>
      <c r="C90" s="5"/>
      <c r="D90" s="5"/>
      <c r="E90" s="5">
        <v>0</v>
      </c>
      <c r="F90" s="5">
        <v>0</v>
      </c>
      <c r="G90" s="5">
        <v>0</v>
      </c>
      <c r="H90" s="5">
        <v>33024000000000</v>
      </c>
      <c r="I90" s="5">
        <v>21624000000000</v>
      </c>
      <c r="J90" s="5">
        <v>32273000000000</v>
      </c>
      <c r="K90" s="5">
        <v>22736000000000</v>
      </c>
      <c r="L90" s="5">
        <v>21599000000000</v>
      </c>
      <c r="M90" s="5">
        <v>9659000000000</v>
      </c>
      <c r="N90" s="5">
        <v>123590000000000</v>
      </c>
      <c r="O90" s="5">
        <v>95012000000000</v>
      </c>
      <c r="P90" s="5">
        <v>360760000000000</v>
      </c>
      <c r="Q90" s="5">
        <v>150730000000000</v>
      </c>
      <c r="R90" s="5">
        <v>255660000000000</v>
      </c>
      <c r="S90" s="5">
        <v>96206000000000</v>
      </c>
      <c r="T90" s="5">
        <v>1099400000000000</v>
      </c>
      <c r="U90" s="5">
        <v>220100000000000</v>
      </c>
      <c r="V90" s="5">
        <v>1721000000000000</v>
      </c>
      <c r="W90" s="5">
        <v>313910000000000</v>
      </c>
      <c r="X90" s="5">
        <v>2376200000000000</v>
      </c>
      <c r="Y90" s="5">
        <v>349060000000000</v>
      </c>
      <c r="Z90" s="5">
        <v>2535600000000000</v>
      </c>
      <c r="AA90" s="5">
        <v>264470000000000</v>
      </c>
      <c r="AB90" s="5">
        <v>3719200000000000</v>
      </c>
      <c r="AC90" s="5">
        <v>276340000000000</v>
      </c>
      <c r="AD90" s="5">
        <v>5049400000000000</v>
      </c>
      <c r="AE90" s="5">
        <v>292360000000000</v>
      </c>
      <c r="AF90" s="5">
        <v>7845200000000000</v>
      </c>
      <c r="AG90" s="5">
        <v>344400000000000</v>
      </c>
      <c r="AH90" s="5">
        <v>9502600000000000</v>
      </c>
      <c r="AI90" s="5">
        <v>324990000000000</v>
      </c>
      <c r="AJ90" s="5">
        <v>1.1809E+16</v>
      </c>
      <c r="AK90" s="5">
        <v>343650000000000</v>
      </c>
      <c r="AL90" s="5">
        <v>1.413E+16</v>
      </c>
      <c r="AM90" s="5">
        <v>333470000000000</v>
      </c>
      <c r="AN90" s="5">
        <v>1.8352E+16</v>
      </c>
      <c r="AO90" s="5">
        <v>357860000000000</v>
      </c>
      <c r="AP90" s="5">
        <v>1.9957E+16</v>
      </c>
      <c r="AQ90" s="5">
        <v>339280000000000</v>
      </c>
      <c r="AR90" s="5">
        <v>2.4496E+16</v>
      </c>
      <c r="AS90" s="5">
        <v>347840000000000</v>
      </c>
      <c r="AT90" s="5">
        <v>2.4811E+16</v>
      </c>
      <c r="AU90" s="5">
        <v>327510000000000</v>
      </c>
      <c r="AV90" s="5">
        <v>2.2377E+16</v>
      </c>
      <c r="AW90" s="5">
        <v>266280000000000</v>
      </c>
      <c r="AX90" s="5">
        <v>1.5135E+16</v>
      </c>
      <c r="AY90" s="5">
        <v>186160000000000</v>
      </c>
      <c r="AZ90" s="5">
        <v>9194600000000000</v>
      </c>
      <c r="BA90" s="5">
        <v>115850000000000</v>
      </c>
      <c r="BB90" s="5">
        <v>4494500000000000</v>
      </c>
      <c r="BC90" s="5">
        <v>67418000000000</v>
      </c>
      <c r="BD90" s="5">
        <v>2022800000000000</v>
      </c>
      <c r="BE90" s="5">
        <v>39041000000000</v>
      </c>
      <c r="BF90" s="5">
        <v>963250000000000</v>
      </c>
      <c r="BG90" s="5">
        <v>27260000000000</v>
      </c>
      <c r="BH90" s="5">
        <v>535200000000000</v>
      </c>
      <c r="BI90" s="5">
        <v>22960000000000</v>
      </c>
      <c r="BJ90" s="5">
        <v>321170000000000</v>
      </c>
      <c r="BK90" s="5">
        <v>15513000000000</v>
      </c>
      <c r="BL90" s="5">
        <v>225810000000000</v>
      </c>
      <c r="BM90" s="5">
        <v>11855000000000</v>
      </c>
      <c r="BN90" s="5">
        <v>178680000000000</v>
      </c>
      <c r="BO90" s="5">
        <v>11561000000000</v>
      </c>
      <c r="BP90" s="5">
        <v>124760000000000</v>
      </c>
      <c r="BQ90" s="5">
        <v>8109500000000</v>
      </c>
      <c r="BR90" s="5">
        <v>70060000000000</v>
      </c>
      <c r="BS90" s="5">
        <v>4715100000000</v>
      </c>
      <c r="BT90" s="5">
        <v>50293000000000</v>
      </c>
      <c r="BU90" s="5">
        <v>4305100000000</v>
      </c>
      <c r="BV90" s="5">
        <v>35147000000000</v>
      </c>
      <c r="BW90" s="5">
        <v>3198300000000</v>
      </c>
      <c r="BX90" s="5">
        <v>32128000000000</v>
      </c>
      <c r="BY90" s="5">
        <v>3787900000000</v>
      </c>
      <c r="BZ90" s="5">
        <v>21235000000000</v>
      </c>
      <c r="CA90" s="5">
        <v>2132000000000</v>
      </c>
      <c r="CB90" s="5">
        <v>16518000000000</v>
      </c>
      <c r="CC90" s="5">
        <v>1638600000000</v>
      </c>
      <c r="CD90" s="5">
        <v>12821000000000</v>
      </c>
      <c r="CE90" s="5">
        <v>846160000000</v>
      </c>
      <c r="CF90" s="5">
        <v>8057500000000</v>
      </c>
      <c r="CG90" s="5">
        <v>566450000000</v>
      </c>
      <c r="CH90" s="5">
        <v>5286300000000</v>
      </c>
      <c r="CI90" s="5">
        <v>411800000000</v>
      </c>
      <c r="CJ90" s="5">
        <v>4503600000000</v>
      </c>
      <c r="CK90" s="5">
        <v>353080000000</v>
      </c>
      <c r="CL90" s="5">
        <v>3784100000000</v>
      </c>
      <c r="CM90" s="5">
        <v>255050000000</v>
      </c>
      <c r="CN90" s="5">
        <v>2482600000000</v>
      </c>
      <c r="CO90" s="5">
        <v>178000000000</v>
      </c>
      <c r="CP90" s="5">
        <v>1410400000000</v>
      </c>
      <c r="CQ90" s="5">
        <v>127920000000</v>
      </c>
      <c r="CR90" s="5">
        <v>706670000000</v>
      </c>
      <c r="CS90" s="5">
        <v>103170000000</v>
      </c>
      <c r="CT90" s="5">
        <v>571720000000</v>
      </c>
      <c r="CU90" s="5">
        <v>64948000000</v>
      </c>
      <c r="CV90" s="5">
        <v>612300000000</v>
      </c>
      <c r="CW90" s="5">
        <v>63067000000</v>
      </c>
      <c r="CX90" s="5">
        <v>484870000000</v>
      </c>
      <c r="CY90" s="5">
        <v>39614000000</v>
      </c>
      <c r="CZ90" s="5">
        <v>296040000000</v>
      </c>
      <c r="DA90" s="5">
        <v>31084000000</v>
      </c>
      <c r="DB90" s="5">
        <v>96321000000</v>
      </c>
      <c r="DC90" s="5">
        <v>11491000000</v>
      </c>
      <c r="DD90" s="5">
        <v>54136000000</v>
      </c>
      <c r="DE90" s="5">
        <v>14600000000</v>
      </c>
      <c r="DF90" s="5">
        <v>29259000000</v>
      </c>
      <c r="DG90" s="5">
        <v>6764600000</v>
      </c>
      <c r="DH90" s="5">
        <v>9774700000</v>
      </c>
      <c r="DI90" s="5">
        <v>4039900000</v>
      </c>
      <c r="DJ90" s="5">
        <v>1423500000</v>
      </c>
      <c r="DK90" s="5">
        <v>856800000</v>
      </c>
      <c r="DL90" s="5">
        <v>728210000</v>
      </c>
      <c r="DM90" s="5">
        <v>530070000</v>
      </c>
      <c r="DN90" s="5">
        <v>111850000</v>
      </c>
      <c r="DO90" s="5">
        <v>71504000</v>
      </c>
      <c r="DP90" s="5">
        <v>144320000</v>
      </c>
      <c r="DQ90" s="5">
        <v>144320000</v>
      </c>
      <c r="DR90" s="5">
        <v>1796800000</v>
      </c>
      <c r="DS90" s="5">
        <v>1796800000</v>
      </c>
      <c r="DT90" s="5">
        <v>0</v>
      </c>
      <c r="DU90" s="5">
        <v>0</v>
      </c>
      <c r="DV90" s="5">
        <v>0</v>
      </c>
      <c r="DW90" s="5">
        <v>0</v>
      </c>
      <c r="DX90" s="5">
        <v>0</v>
      </c>
      <c r="DY90" s="5">
        <v>0</v>
      </c>
      <c r="DZ90" s="5">
        <v>0</v>
      </c>
      <c r="EA90" s="5">
        <v>0</v>
      </c>
      <c r="EB90" s="5">
        <v>0</v>
      </c>
      <c r="EC90" s="5">
        <v>0</v>
      </c>
      <c r="ED90" s="5">
        <v>0</v>
      </c>
      <c r="EE90" s="5">
        <v>0</v>
      </c>
      <c r="EF90" s="5">
        <v>0</v>
      </c>
      <c r="EG90" s="5">
        <v>0</v>
      </c>
      <c r="EH90" s="5">
        <v>0</v>
      </c>
      <c r="EI90" s="5">
        <v>0</v>
      </c>
      <c r="EJ90" s="5">
        <v>0</v>
      </c>
      <c r="EK90" s="5">
        <v>0</v>
      </c>
      <c r="EL90" s="5">
        <v>0</v>
      </c>
      <c r="EM90" s="5">
        <v>0</v>
      </c>
      <c r="EN90" s="5">
        <v>0</v>
      </c>
      <c r="EO90" s="5">
        <v>0</v>
      </c>
      <c r="EP90" s="5">
        <v>0</v>
      </c>
      <c r="EQ90" s="5">
        <v>0</v>
      </c>
    </row>
    <row r="91" spans="1:147">
      <c r="A91" s="5"/>
      <c r="B91" s="5"/>
      <c r="C91" s="5"/>
      <c r="D91" s="5"/>
      <c r="E91" s="5">
        <v>0</v>
      </c>
      <c r="F91" s="5">
        <v>7681900000000</v>
      </c>
      <c r="G91" s="5">
        <v>7681900000000</v>
      </c>
      <c r="H91" s="5">
        <v>12208000000000</v>
      </c>
      <c r="I91" s="5">
        <v>8632400000000</v>
      </c>
      <c r="J91" s="5">
        <v>19403000000000</v>
      </c>
      <c r="K91" s="5">
        <v>9701300000000</v>
      </c>
      <c r="L91" s="5">
        <v>243200000000000</v>
      </c>
      <c r="M91" s="5">
        <v>157450000000000</v>
      </c>
      <c r="N91" s="5">
        <v>212070000000000</v>
      </c>
      <c r="O91" s="5">
        <v>116110000000000</v>
      </c>
      <c r="P91" s="5">
        <v>493360000000000</v>
      </c>
      <c r="Q91" s="5">
        <v>177710000000000</v>
      </c>
      <c r="R91" s="5">
        <v>817540000000000</v>
      </c>
      <c r="S91" s="5">
        <v>291290000000000</v>
      </c>
      <c r="T91" s="5">
        <v>923250000000000</v>
      </c>
      <c r="U91" s="5">
        <v>187970000000000</v>
      </c>
      <c r="V91" s="5">
        <v>1766100000000000</v>
      </c>
      <c r="W91" s="5">
        <v>237710000000000</v>
      </c>
      <c r="X91" s="5">
        <v>2814700000000000</v>
      </c>
      <c r="Y91" s="5">
        <v>295820000000000</v>
      </c>
      <c r="Z91" s="5">
        <v>3421700000000000</v>
      </c>
      <c r="AA91" s="5">
        <v>292210000000000</v>
      </c>
      <c r="AB91" s="5">
        <v>4063300000000000</v>
      </c>
      <c r="AC91" s="5">
        <v>308810000000000</v>
      </c>
      <c r="AD91" s="5">
        <v>5800900000000000</v>
      </c>
      <c r="AE91" s="5">
        <v>319630000000000</v>
      </c>
      <c r="AF91" s="5">
        <v>8200500000000000</v>
      </c>
      <c r="AG91" s="5">
        <v>331300000000000</v>
      </c>
      <c r="AH91" s="5">
        <v>1.1331E+16</v>
      </c>
      <c r="AI91" s="5">
        <v>338810000000000</v>
      </c>
      <c r="AJ91" s="5">
        <v>1.3804E+16</v>
      </c>
      <c r="AK91" s="5">
        <v>357530000000000</v>
      </c>
      <c r="AL91" s="5">
        <v>1.7601E+16</v>
      </c>
      <c r="AM91" s="5">
        <v>359060000000000</v>
      </c>
      <c r="AN91" s="5">
        <v>2.0506E+16</v>
      </c>
      <c r="AO91" s="5">
        <v>346540000000000</v>
      </c>
      <c r="AP91" s="5">
        <v>2.2159E+16</v>
      </c>
      <c r="AQ91" s="5">
        <v>341250000000000</v>
      </c>
      <c r="AR91" s="5">
        <v>2.7244E+16</v>
      </c>
      <c r="AS91" s="5">
        <v>354180000000000</v>
      </c>
      <c r="AT91" s="5">
        <v>2.5901E+16</v>
      </c>
      <c r="AU91" s="5">
        <v>315990000000000</v>
      </c>
      <c r="AV91" s="5">
        <v>2.1561E+16</v>
      </c>
      <c r="AW91" s="5">
        <v>241480000000000</v>
      </c>
      <c r="AX91" s="5">
        <v>1.3517E+16</v>
      </c>
      <c r="AY91" s="5">
        <v>156800000000000</v>
      </c>
      <c r="AZ91" s="5">
        <v>7323200000000000</v>
      </c>
      <c r="BA91" s="5">
        <v>91540000000000</v>
      </c>
      <c r="BB91" s="5">
        <v>3146000000000000</v>
      </c>
      <c r="BC91" s="5">
        <v>49707000000000</v>
      </c>
      <c r="BD91" s="5">
        <v>1205400000000000</v>
      </c>
      <c r="BE91" s="5">
        <v>27724000000000</v>
      </c>
      <c r="BF91" s="5">
        <v>595660000000000</v>
      </c>
      <c r="BG91" s="5">
        <v>20431000000000</v>
      </c>
      <c r="BH91" s="5">
        <v>323000000000000</v>
      </c>
      <c r="BI91" s="5">
        <v>13695000000000</v>
      </c>
      <c r="BJ91" s="5">
        <v>235500000000000</v>
      </c>
      <c r="BK91" s="5">
        <v>13094000000000</v>
      </c>
      <c r="BL91" s="5">
        <v>153000000000000</v>
      </c>
      <c r="BM91" s="5">
        <v>9547300000000</v>
      </c>
      <c r="BN91" s="5">
        <v>110930000000000</v>
      </c>
      <c r="BO91" s="5">
        <v>7044200000000</v>
      </c>
      <c r="BP91" s="5">
        <v>85680000000000</v>
      </c>
      <c r="BQ91" s="5">
        <v>6520200000000</v>
      </c>
      <c r="BR91" s="5">
        <v>63834000000000</v>
      </c>
      <c r="BS91" s="5">
        <v>5170600000000</v>
      </c>
      <c r="BT91" s="5">
        <v>40311000000000</v>
      </c>
      <c r="BU91" s="5">
        <v>3333800000000</v>
      </c>
      <c r="BV91" s="5">
        <v>20491000000000</v>
      </c>
      <c r="BW91" s="5">
        <v>1817500000000</v>
      </c>
      <c r="BX91" s="5">
        <v>23179000000000</v>
      </c>
      <c r="BY91" s="5">
        <v>2320200000000</v>
      </c>
      <c r="BZ91" s="5">
        <v>16045000000000</v>
      </c>
      <c r="CA91" s="5">
        <v>1249900000000</v>
      </c>
      <c r="CB91" s="5">
        <v>12408000000000</v>
      </c>
      <c r="CC91" s="5">
        <v>1832600000000</v>
      </c>
      <c r="CD91" s="5">
        <v>7929700000000</v>
      </c>
      <c r="CE91" s="5">
        <v>516220000000</v>
      </c>
      <c r="CF91" s="5">
        <v>6953300000000</v>
      </c>
      <c r="CG91" s="5">
        <v>531230000000</v>
      </c>
      <c r="CH91" s="5">
        <v>3913900000000</v>
      </c>
      <c r="CI91" s="5">
        <v>358120000000</v>
      </c>
      <c r="CJ91" s="5">
        <v>3628400000000</v>
      </c>
      <c r="CK91" s="5">
        <v>351230000000</v>
      </c>
      <c r="CL91" s="5">
        <v>2921600000000</v>
      </c>
      <c r="CM91" s="5">
        <v>254470000000</v>
      </c>
      <c r="CN91" s="5">
        <v>1380700000000</v>
      </c>
      <c r="CO91" s="5">
        <v>116670000000</v>
      </c>
      <c r="CP91" s="5">
        <v>777190000000</v>
      </c>
      <c r="CQ91" s="5">
        <v>85569000000</v>
      </c>
      <c r="CR91" s="5">
        <v>398900000000</v>
      </c>
      <c r="CS91" s="5">
        <v>57561000000</v>
      </c>
      <c r="CT91" s="5">
        <v>260360000000</v>
      </c>
      <c r="CU91" s="5">
        <v>31269000000</v>
      </c>
      <c r="CV91" s="5">
        <v>379150000000</v>
      </c>
      <c r="CW91" s="5">
        <v>34730000000</v>
      </c>
      <c r="CX91" s="5">
        <v>300480000000</v>
      </c>
      <c r="CY91" s="5">
        <v>42968000000</v>
      </c>
      <c r="CZ91" s="5">
        <v>126500000000</v>
      </c>
      <c r="DA91" s="5">
        <v>15711000000</v>
      </c>
      <c r="DB91" s="5">
        <v>42897000000</v>
      </c>
      <c r="DC91" s="5">
        <v>8871000000</v>
      </c>
      <c r="DD91" s="5">
        <v>29332000000</v>
      </c>
      <c r="DE91" s="5">
        <v>8110300000</v>
      </c>
      <c r="DF91" s="5">
        <v>8738600000</v>
      </c>
      <c r="DG91" s="5">
        <v>3023600000</v>
      </c>
      <c r="DH91" s="5">
        <v>2108600000</v>
      </c>
      <c r="DI91" s="5">
        <v>906260000</v>
      </c>
      <c r="DJ91" s="5">
        <v>1638600000</v>
      </c>
      <c r="DK91" s="5">
        <v>824190000</v>
      </c>
      <c r="DL91" s="5">
        <v>145150000</v>
      </c>
      <c r="DM91" s="5">
        <v>102410000</v>
      </c>
      <c r="DN91" s="5">
        <v>164300000</v>
      </c>
      <c r="DO91" s="5">
        <v>164300000</v>
      </c>
      <c r="DP91" s="5">
        <v>185430000</v>
      </c>
      <c r="DQ91" s="5">
        <v>185430000</v>
      </c>
      <c r="DR91" s="5">
        <v>0</v>
      </c>
      <c r="DS91" s="5">
        <v>0</v>
      </c>
      <c r="DT91" s="5">
        <v>0</v>
      </c>
      <c r="DU91" s="5">
        <v>0</v>
      </c>
      <c r="DV91" s="5">
        <v>0</v>
      </c>
      <c r="DW91" s="5">
        <v>0</v>
      </c>
      <c r="DX91" s="5">
        <v>0</v>
      </c>
      <c r="DY91" s="5">
        <v>0</v>
      </c>
      <c r="DZ91" s="5">
        <v>0</v>
      </c>
      <c r="EA91" s="5">
        <v>0</v>
      </c>
      <c r="EB91" s="5">
        <v>0</v>
      </c>
      <c r="EC91" s="5">
        <v>0</v>
      </c>
      <c r="ED91" s="5">
        <v>0</v>
      </c>
      <c r="EE91" s="5">
        <v>0</v>
      </c>
      <c r="EF91" s="5">
        <v>0</v>
      </c>
      <c r="EG91" s="5">
        <v>0</v>
      </c>
      <c r="EH91" s="5">
        <v>0</v>
      </c>
      <c r="EI91" s="5">
        <v>0</v>
      </c>
      <c r="EJ91" s="5">
        <v>0</v>
      </c>
      <c r="EK91" s="5">
        <v>0</v>
      </c>
      <c r="EL91" s="5">
        <v>0</v>
      </c>
      <c r="EM91" s="5">
        <v>0</v>
      </c>
      <c r="EN91" s="5">
        <v>0</v>
      </c>
      <c r="EO91" s="5">
        <v>0</v>
      </c>
      <c r="EP91" s="5">
        <v>0</v>
      </c>
      <c r="EQ91" s="5">
        <v>0</v>
      </c>
    </row>
    <row r="92" spans="1:147">
      <c r="A92" s="5"/>
      <c r="B92" s="5"/>
      <c r="C92" s="5"/>
      <c r="D92" s="5"/>
      <c r="E92" s="5">
        <v>21105000000000</v>
      </c>
      <c r="F92" s="5">
        <v>293090000000000</v>
      </c>
      <c r="G92" s="5">
        <v>175940000000000</v>
      </c>
      <c r="H92" s="5">
        <v>5433500000000</v>
      </c>
      <c r="I92" s="5">
        <v>5433500000000</v>
      </c>
      <c r="J92" s="5">
        <v>341560000000000</v>
      </c>
      <c r="K92" s="5">
        <v>158350000000000</v>
      </c>
      <c r="L92" s="5">
        <v>156560000000000</v>
      </c>
      <c r="M92" s="5">
        <v>103530000000000</v>
      </c>
      <c r="N92" s="5">
        <v>462360000000000</v>
      </c>
      <c r="O92" s="5">
        <v>175140000000000</v>
      </c>
      <c r="P92" s="5">
        <v>419250000000000</v>
      </c>
      <c r="Q92" s="5">
        <v>140410000000000</v>
      </c>
      <c r="R92" s="5">
        <v>1147600000000000</v>
      </c>
      <c r="S92" s="5">
        <v>227340000000000</v>
      </c>
      <c r="T92" s="5">
        <v>1632000000000000</v>
      </c>
      <c r="U92" s="5">
        <v>244810000000000</v>
      </c>
      <c r="V92" s="5">
        <v>2651500000000000</v>
      </c>
      <c r="W92" s="5">
        <v>302270000000000</v>
      </c>
      <c r="X92" s="5">
        <v>3197000000000000</v>
      </c>
      <c r="Y92" s="5">
        <v>277180000000000</v>
      </c>
      <c r="Z92" s="5">
        <v>4490200000000000</v>
      </c>
      <c r="AA92" s="5">
        <v>343050000000000</v>
      </c>
      <c r="AB92" s="5">
        <v>5077300000000000</v>
      </c>
      <c r="AC92" s="5">
        <v>286870000000000</v>
      </c>
      <c r="AD92" s="5">
        <v>6954900000000000</v>
      </c>
      <c r="AE92" s="5">
        <v>296970000000000</v>
      </c>
      <c r="AF92" s="5">
        <v>1.0362E+16</v>
      </c>
      <c r="AG92" s="5">
        <v>337800000000000</v>
      </c>
      <c r="AH92" s="5">
        <v>1.3086E+16</v>
      </c>
      <c r="AI92" s="5">
        <v>352010000000000</v>
      </c>
      <c r="AJ92" s="5">
        <v>1.5861E+16</v>
      </c>
      <c r="AK92" s="5">
        <v>345770000000000</v>
      </c>
      <c r="AL92" s="5">
        <v>1.8972E+16</v>
      </c>
      <c r="AM92" s="5">
        <v>347180000000000</v>
      </c>
      <c r="AN92" s="5">
        <v>2.2552E+16</v>
      </c>
      <c r="AO92" s="5">
        <v>347300000000000</v>
      </c>
      <c r="AP92" s="5">
        <v>2.3573E+16</v>
      </c>
      <c r="AQ92" s="5">
        <v>334740000000000</v>
      </c>
      <c r="AR92" s="5">
        <v>2.8163E+16</v>
      </c>
      <c r="AS92" s="5">
        <v>326690000000000</v>
      </c>
      <c r="AT92" s="5">
        <v>2.6437E+16</v>
      </c>
      <c r="AU92" s="5">
        <v>293450000000000</v>
      </c>
      <c r="AV92" s="5">
        <v>1.9844E+16</v>
      </c>
      <c r="AW92" s="5">
        <v>212330000000000</v>
      </c>
      <c r="AX92" s="5">
        <v>1.1302E+16</v>
      </c>
      <c r="AY92" s="5">
        <v>134500000000000</v>
      </c>
      <c r="AZ92" s="5">
        <v>5022300000000000</v>
      </c>
      <c r="BA92" s="5">
        <v>69810000000000</v>
      </c>
      <c r="BB92" s="5">
        <v>1847400000000000</v>
      </c>
      <c r="BC92" s="5">
        <v>34917000000000</v>
      </c>
      <c r="BD92" s="5">
        <v>702390000000000</v>
      </c>
      <c r="BE92" s="5">
        <v>22266000000000</v>
      </c>
      <c r="BF92" s="5">
        <v>355090000000000</v>
      </c>
      <c r="BG92" s="5">
        <v>14559000000000</v>
      </c>
      <c r="BH92" s="5">
        <v>210920000000000</v>
      </c>
      <c r="BI92" s="5">
        <v>11010000000000</v>
      </c>
      <c r="BJ92" s="5">
        <v>136420000000000</v>
      </c>
      <c r="BK92" s="5">
        <v>8075900000000</v>
      </c>
      <c r="BL92" s="5">
        <v>102240000000000</v>
      </c>
      <c r="BM92" s="5">
        <v>7228500000000</v>
      </c>
      <c r="BN92" s="5">
        <v>78848000000000</v>
      </c>
      <c r="BO92" s="5">
        <v>6710000000000</v>
      </c>
      <c r="BP92" s="5">
        <v>61628000000000</v>
      </c>
      <c r="BQ92" s="5">
        <v>6754400000000</v>
      </c>
      <c r="BR92" s="5">
        <v>42771000000000</v>
      </c>
      <c r="BS92" s="5">
        <v>4230100000000</v>
      </c>
      <c r="BT92" s="5">
        <v>29692000000000</v>
      </c>
      <c r="BU92" s="5">
        <v>3655100000000</v>
      </c>
      <c r="BV92" s="5">
        <v>12975000000000</v>
      </c>
      <c r="BW92" s="5">
        <v>1346800000000</v>
      </c>
      <c r="BX92" s="5">
        <v>14555000000000</v>
      </c>
      <c r="BY92" s="5">
        <v>1646200000000</v>
      </c>
      <c r="BZ92" s="5">
        <v>10974000000000</v>
      </c>
      <c r="CA92" s="5">
        <v>1110600000000</v>
      </c>
      <c r="CB92" s="5">
        <v>7300700000000</v>
      </c>
      <c r="CC92" s="5">
        <v>589890000000</v>
      </c>
      <c r="CD92" s="5">
        <v>6375300000000</v>
      </c>
      <c r="CE92" s="5">
        <v>519590000000</v>
      </c>
      <c r="CF92" s="5">
        <v>3944100000000</v>
      </c>
      <c r="CG92" s="5">
        <v>285950000000</v>
      </c>
      <c r="CH92" s="5">
        <v>2093000000000</v>
      </c>
      <c r="CI92" s="5">
        <v>187110000000</v>
      </c>
      <c r="CJ92" s="5">
        <v>2279200000000</v>
      </c>
      <c r="CK92" s="5">
        <v>246610000000</v>
      </c>
      <c r="CL92" s="5">
        <v>1453800000000</v>
      </c>
      <c r="CM92" s="5">
        <v>144940000000</v>
      </c>
      <c r="CN92" s="5">
        <v>913330000000</v>
      </c>
      <c r="CO92" s="5">
        <v>121470000000</v>
      </c>
      <c r="CP92" s="5">
        <v>500430000000</v>
      </c>
      <c r="CQ92" s="5">
        <v>56749000000</v>
      </c>
      <c r="CR92" s="5">
        <v>215960000000</v>
      </c>
      <c r="CS92" s="5">
        <v>29564000000</v>
      </c>
      <c r="CT92" s="5">
        <v>198430000000</v>
      </c>
      <c r="CU92" s="5">
        <v>27661000000</v>
      </c>
      <c r="CV92" s="5">
        <v>203210000000</v>
      </c>
      <c r="CW92" s="5">
        <v>24487000000</v>
      </c>
      <c r="CX92" s="5">
        <v>149760000000</v>
      </c>
      <c r="CY92" s="5">
        <v>17088000000</v>
      </c>
      <c r="CZ92" s="5">
        <v>69113000000</v>
      </c>
      <c r="DA92" s="5">
        <v>12765000000</v>
      </c>
      <c r="DB92" s="5">
        <v>34052000000</v>
      </c>
      <c r="DC92" s="5">
        <v>11690000000</v>
      </c>
      <c r="DD92" s="5">
        <v>8107200000</v>
      </c>
      <c r="DE92" s="5">
        <v>2344600000</v>
      </c>
      <c r="DF92" s="5">
        <v>2254600000</v>
      </c>
      <c r="DG92" s="5">
        <v>766790000</v>
      </c>
      <c r="DH92" s="5">
        <v>275970000</v>
      </c>
      <c r="DI92" s="5">
        <v>154020000</v>
      </c>
      <c r="DJ92" s="5">
        <v>4734400000</v>
      </c>
      <c r="DK92" s="5">
        <v>4022800000</v>
      </c>
      <c r="DL92" s="5">
        <v>43296000</v>
      </c>
      <c r="DM92" s="5">
        <v>43296000</v>
      </c>
      <c r="DN92" s="5">
        <v>0</v>
      </c>
      <c r="DO92" s="5">
        <v>0</v>
      </c>
      <c r="DP92" s="5">
        <v>0</v>
      </c>
      <c r="DQ92" s="5">
        <v>0</v>
      </c>
      <c r="DR92" s="5">
        <v>0</v>
      </c>
      <c r="DS92" s="5">
        <v>0</v>
      </c>
      <c r="DT92" s="5">
        <v>0</v>
      </c>
      <c r="DU92" s="5">
        <v>0</v>
      </c>
      <c r="DV92" s="5">
        <v>0</v>
      </c>
      <c r="DW92" s="5">
        <v>0</v>
      </c>
      <c r="DX92" s="5">
        <v>0</v>
      </c>
      <c r="DY92" s="5">
        <v>0</v>
      </c>
      <c r="DZ92" s="5">
        <v>0</v>
      </c>
      <c r="EA92" s="5">
        <v>0</v>
      </c>
      <c r="EB92" s="5">
        <v>0</v>
      </c>
      <c r="EC92" s="5">
        <v>0</v>
      </c>
      <c r="ED92" s="5">
        <v>0</v>
      </c>
      <c r="EE92" s="5">
        <v>0</v>
      </c>
      <c r="EF92" s="5">
        <v>0</v>
      </c>
      <c r="EG92" s="5">
        <v>0</v>
      </c>
      <c r="EH92" s="5">
        <v>0</v>
      </c>
      <c r="EI92" s="5">
        <v>0</v>
      </c>
      <c r="EJ92" s="5">
        <v>0</v>
      </c>
      <c r="EK92" s="5">
        <v>0</v>
      </c>
      <c r="EL92" s="5">
        <v>0</v>
      </c>
      <c r="EM92" s="5">
        <v>0</v>
      </c>
      <c r="EN92" s="5">
        <v>0</v>
      </c>
      <c r="EO92" s="5">
        <v>0</v>
      </c>
      <c r="EP92" s="5">
        <v>0</v>
      </c>
      <c r="EQ92" s="5">
        <v>0</v>
      </c>
    </row>
    <row r="93" spans="1:147">
      <c r="A93" s="5"/>
      <c r="B93" s="5"/>
      <c r="C93" s="5"/>
      <c r="D93" s="5"/>
      <c r="E93" s="5">
        <v>132060000000000</v>
      </c>
      <c r="F93" s="5">
        <v>179690000000000</v>
      </c>
      <c r="G93" s="5">
        <v>179690000000000</v>
      </c>
      <c r="H93" s="5">
        <v>155510000000000</v>
      </c>
      <c r="I93" s="5">
        <v>116840000000000</v>
      </c>
      <c r="J93" s="5">
        <v>372330000000000</v>
      </c>
      <c r="K93" s="5">
        <v>189930000000000</v>
      </c>
      <c r="L93" s="5">
        <v>214920000000000</v>
      </c>
      <c r="M93" s="5">
        <v>110020000000000</v>
      </c>
      <c r="N93" s="5">
        <v>695300000000000</v>
      </c>
      <c r="O93" s="5">
        <v>199060000000000</v>
      </c>
      <c r="P93" s="5">
        <v>1023300000000000</v>
      </c>
      <c r="Q93" s="5">
        <v>285800000000000</v>
      </c>
      <c r="R93" s="5">
        <v>1300600000000000</v>
      </c>
      <c r="S93" s="5">
        <v>277170000000000</v>
      </c>
      <c r="T93" s="5">
        <v>1676200000000000</v>
      </c>
      <c r="U93" s="5">
        <v>232820000000000</v>
      </c>
      <c r="V93" s="5">
        <v>3292500000000000</v>
      </c>
      <c r="W93" s="5">
        <v>305540000000000</v>
      </c>
      <c r="X93" s="5">
        <v>3773300000000000</v>
      </c>
      <c r="Y93" s="5">
        <v>322990000000000</v>
      </c>
      <c r="Z93" s="5">
        <v>5612200000000000</v>
      </c>
      <c r="AA93" s="5">
        <v>305310000000000</v>
      </c>
      <c r="AB93" s="5">
        <v>5924200000000000</v>
      </c>
      <c r="AC93" s="5">
        <v>305100000000000</v>
      </c>
      <c r="AD93" s="5">
        <v>7895700000000000</v>
      </c>
      <c r="AE93" s="5">
        <v>308720000000000</v>
      </c>
      <c r="AF93" s="5">
        <v>1.1723E+16</v>
      </c>
      <c r="AG93" s="5">
        <v>343480000000000</v>
      </c>
      <c r="AH93" s="5">
        <v>1.4622E+16</v>
      </c>
      <c r="AI93" s="5">
        <v>349470000000000</v>
      </c>
      <c r="AJ93" s="5">
        <v>1.7235E+16</v>
      </c>
      <c r="AK93" s="5">
        <v>342980000000000</v>
      </c>
      <c r="AL93" s="5">
        <v>2.0714E+16</v>
      </c>
      <c r="AM93" s="5">
        <v>337650000000000</v>
      </c>
      <c r="AN93" s="5">
        <v>2.4677E+16</v>
      </c>
      <c r="AO93" s="5">
        <v>345470000000000</v>
      </c>
      <c r="AP93" s="5">
        <v>2.5156E+16</v>
      </c>
      <c r="AQ93" s="5">
        <v>322000000000000</v>
      </c>
      <c r="AR93" s="5">
        <v>2.8097E+16</v>
      </c>
      <c r="AS93" s="5">
        <v>303440000000000</v>
      </c>
      <c r="AT93" s="5">
        <v>2.5729E+16</v>
      </c>
      <c r="AU93" s="5">
        <v>265010000000000</v>
      </c>
      <c r="AV93" s="5">
        <v>1.7673E+16</v>
      </c>
      <c r="AW93" s="5">
        <v>182040000000000</v>
      </c>
      <c r="AX93" s="5">
        <v>8378100000000000</v>
      </c>
      <c r="AY93" s="5">
        <v>105560000000000</v>
      </c>
      <c r="AZ93" s="5">
        <v>3031700000000000</v>
      </c>
      <c r="BA93" s="5">
        <v>46991000000000</v>
      </c>
      <c r="BB93" s="5">
        <v>1006700000000000</v>
      </c>
      <c r="BC93" s="5">
        <v>24061000000000</v>
      </c>
      <c r="BD93" s="5">
        <v>413110000000000</v>
      </c>
      <c r="BE93" s="5">
        <v>15203000000000</v>
      </c>
      <c r="BF93" s="5">
        <v>204340000000000</v>
      </c>
      <c r="BG93" s="5">
        <v>10360000000000</v>
      </c>
      <c r="BH93" s="5">
        <v>130620000000000</v>
      </c>
      <c r="BI93" s="5">
        <v>8398900000000</v>
      </c>
      <c r="BJ93" s="5">
        <v>97319000000000</v>
      </c>
      <c r="BK93" s="5">
        <v>7746600000000</v>
      </c>
      <c r="BL93" s="5">
        <v>69246000000000</v>
      </c>
      <c r="BM93" s="5">
        <v>5518900000000</v>
      </c>
      <c r="BN93" s="5">
        <v>51074000000000</v>
      </c>
      <c r="BO93" s="5">
        <v>4351500000000</v>
      </c>
      <c r="BP93" s="5">
        <v>40338000000000</v>
      </c>
      <c r="BQ93" s="5">
        <v>3582100000000</v>
      </c>
      <c r="BR93" s="5">
        <v>30066000000000</v>
      </c>
      <c r="BS93" s="5">
        <v>3039700000000</v>
      </c>
      <c r="BT93" s="5">
        <v>14848000000000</v>
      </c>
      <c r="BU93" s="5">
        <v>1536700000000</v>
      </c>
      <c r="BV93" s="5">
        <v>11415000000000</v>
      </c>
      <c r="BW93" s="5">
        <v>1692900000000</v>
      </c>
      <c r="BX93" s="5">
        <v>7922400000000</v>
      </c>
      <c r="BY93" s="5">
        <v>743120000000</v>
      </c>
      <c r="BZ93" s="5">
        <v>7528500000000</v>
      </c>
      <c r="CA93" s="5">
        <v>934290000000</v>
      </c>
      <c r="CB93" s="5">
        <v>5595400000000</v>
      </c>
      <c r="CC93" s="5">
        <v>555060000000</v>
      </c>
      <c r="CD93" s="5">
        <v>4135200000000</v>
      </c>
      <c r="CE93" s="5">
        <v>360590000000</v>
      </c>
      <c r="CF93" s="5">
        <v>2987800000000</v>
      </c>
      <c r="CG93" s="5">
        <v>305660000000</v>
      </c>
      <c r="CH93" s="5">
        <v>1299700000000</v>
      </c>
      <c r="CI93" s="5">
        <v>164800000000</v>
      </c>
      <c r="CJ93" s="5">
        <v>1505500000000</v>
      </c>
      <c r="CK93" s="5">
        <v>233360000000</v>
      </c>
      <c r="CL93" s="5">
        <v>871800000000</v>
      </c>
      <c r="CM93" s="5">
        <v>88662000000</v>
      </c>
      <c r="CN93" s="5">
        <v>719080000000</v>
      </c>
      <c r="CO93" s="5">
        <v>80034000000</v>
      </c>
      <c r="CP93" s="5">
        <v>283250000000</v>
      </c>
      <c r="CQ93" s="5">
        <v>43337000000</v>
      </c>
      <c r="CR93" s="5">
        <v>103000000000</v>
      </c>
      <c r="CS93" s="5">
        <v>16984000000</v>
      </c>
      <c r="CT93" s="5">
        <v>76730000000</v>
      </c>
      <c r="CU93" s="5">
        <v>13566000000</v>
      </c>
      <c r="CV93" s="5">
        <v>85010000000</v>
      </c>
      <c r="CW93" s="5">
        <v>12990000000</v>
      </c>
      <c r="CX93" s="5">
        <v>75022000000</v>
      </c>
      <c r="CY93" s="5">
        <v>15192000000</v>
      </c>
      <c r="CZ93" s="5">
        <v>17198000000</v>
      </c>
      <c r="DA93" s="5">
        <v>3587400000</v>
      </c>
      <c r="DB93" s="5">
        <v>4823100000</v>
      </c>
      <c r="DC93" s="5">
        <v>1737300000</v>
      </c>
      <c r="DD93" s="5">
        <v>6069500000</v>
      </c>
      <c r="DE93" s="5">
        <v>2448400000</v>
      </c>
      <c r="DF93" s="5">
        <v>1965400000</v>
      </c>
      <c r="DG93" s="5">
        <v>1415300000</v>
      </c>
      <c r="DH93" s="5">
        <v>0</v>
      </c>
      <c r="DI93" s="5">
        <v>0</v>
      </c>
      <c r="DJ93" s="5">
        <v>0</v>
      </c>
      <c r="DK93" s="5">
        <v>0</v>
      </c>
      <c r="DL93" s="5">
        <v>0</v>
      </c>
      <c r="DM93" s="5">
        <v>0</v>
      </c>
      <c r="DN93" s="5">
        <v>0</v>
      </c>
      <c r="DO93" s="5">
        <v>0</v>
      </c>
      <c r="DP93" s="5">
        <v>0</v>
      </c>
      <c r="DQ93" s="5">
        <v>0</v>
      </c>
      <c r="DR93" s="5">
        <v>0</v>
      </c>
      <c r="DS93" s="5">
        <v>0</v>
      </c>
      <c r="DT93" s="5">
        <v>0</v>
      </c>
      <c r="DU93" s="5">
        <v>0</v>
      </c>
      <c r="DV93" s="5">
        <v>0</v>
      </c>
      <c r="DW93" s="5">
        <v>0</v>
      </c>
      <c r="DX93" s="5">
        <v>0</v>
      </c>
      <c r="DY93" s="5">
        <v>0</v>
      </c>
      <c r="DZ93" s="5">
        <v>0</v>
      </c>
      <c r="EA93" s="5">
        <v>0</v>
      </c>
      <c r="EB93" s="5">
        <v>0</v>
      </c>
      <c r="EC93" s="5">
        <v>0</v>
      </c>
      <c r="ED93" s="5">
        <v>0</v>
      </c>
      <c r="EE93" s="5">
        <v>0</v>
      </c>
      <c r="EF93" s="5">
        <v>0</v>
      </c>
      <c r="EG93" s="5">
        <v>0</v>
      </c>
      <c r="EH93" s="5">
        <v>0</v>
      </c>
      <c r="EI93" s="5">
        <v>0</v>
      </c>
      <c r="EJ93" s="5">
        <v>0</v>
      </c>
      <c r="EK93" s="5">
        <v>0</v>
      </c>
      <c r="EL93" s="5">
        <v>0</v>
      </c>
      <c r="EM93" s="5">
        <v>0</v>
      </c>
      <c r="EN93" s="5">
        <v>0</v>
      </c>
      <c r="EO93" s="5">
        <v>0</v>
      </c>
      <c r="EP93" s="5">
        <v>0</v>
      </c>
      <c r="EQ93" s="5">
        <v>0</v>
      </c>
    </row>
    <row r="94" spans="1:147">
      <c r="A94" s="5"/>
      <c r="B94" s="5"/>
      <c r="C94" s="5"/>
      <c r="D94" s="5"/>
      <c r="E94" s="5">
        <v>51106000000000</v>
      </c>
      <c r="F94" s="5">
        <v>10902000000000</v>
      </c>
      <c r="G94" s="5">
        <v>7708600000000</v>
      </c>
      <c r="H94" s="5">
        <v>159400000000000</v>
      </c>
      <c r="I94" s="5">
        <v>107650000000000</v>
      </c>
      <c r="J94" s="5">
        <v>582970000000000</v>
      </c>
      <c r="K94" s="5">
        <v>219550000000000</v>
      </c>
      <c r="L94" s="5">
        <v>661110000000000</v>
      </c>
      <c r="M94" s="5">
        <v>259750000000000</v>
      </c>
      <c r="N94" s="5">
        <v>708310000000000</v>
      </c>
      <c r="O94" s="5">
        <v>195850000000000</v>
      </c>
      <c r="P94" s="5">
        <v>1005900000000000</v>
      </c>
      <c r="Q94" s="5">
        <v>199860000000000</v>
      </c>
      <c r="R94" s="5">
        <v>1328000000000000</v>
      </c>
      <c r="S94" s="5">
        <v>213280000000000</v>
      </c>
      <c r="T94" s="5">
        <v>2421700000000000</v>
      </c>
      <c r="U94" s="5">
        <v>257190000000000</v>
      </c>
      <c r="V94" s="5">
        <v>3460300000000000</v>
      </c>
      <c r="W94" s="5">
        <v>306580000000000</v>
      </c>
      <c r="X94" s="5">
        <v>5096200000000000</v>
      </c>
      <c r="Y94" s="5">
        <v>313420000000000</v>
      </c>
      <c r="Z94" s="5">
        <v>5710800000000000</v>
      </c>
      <c r="AA94" s="5">
        <v>299250000000000</v>
      </c>
      <c r="AB94" s="5">
        <v>6871400000000000</v>
      </c>
      <c r="AC94" s="5">
        <v>302340000000000</v>
      </c>
      <c r="AD94" s="5">
        <v>8565100000000000</v>
      </c>
      <c r="AE94" s="5">
        <v>296350000000000</v>
      </c>
      <c r="AF94" s="5">
        <v>1.2496E+16</v>
      </c>
      <c r="AG94" s="5">
        <v>328640000000000</v>
      </c>
      <c r="AH94" s="5">
        <v>1.5862E+16</v>
      </c>
      <c r="AI94" s="5">
        <v>329920000000000</v>
      </c>
      <c r="AJ94" s="5">
        <v>1.821E+16</v>
      </c>
      <c r="AK94" s="5">
        <v>322310000000000</v>
      </c>
      <c r="AL94" s="5">
        <v>2.2476E+16</v>
      </c>
      <c r="AM94" s="5">
        <v>330400000000000</v>
      </c>
      <c r="AN94" s="5">
        <v>2.6244E+16</v>
      </c>
      <c r="AO94" s="5">
        <v>328050000000000</v>
      </c>
      <c r="AP94" s="5">
        <v>2.5842E+16</v>
      </c>
      <c r="AQ94" s="5">
        <v>299770000000000</v>
      </c>
      <c r="AR94" s="5">
        <v>2.7739E+16</v>
      </c>
      <c r="AS94" s="5">
        <v>280170000000000</v>
      </c>
      <c r="AT94" s="5">
        <v>2.3615E+16</v>
      </c>
      <c r="AU94" s="5">
        <v>236150000000000</v>
      </c>
      <c r="AV94" s="5">
        <v>1.3536E+16</v>
      </c>
      <c r="AW94" s="5">
        <v>144830000000000</v>
      </c>
      <c r="AX94" s="5">
        <v>5192500000000000</v>
      </c>
      <c r="AY94" s="5">
        <v>77368000000000</v>
      </c>
      <c r="AZ94" s="5">
        <v>1663500000000000</v>
      </c>
      <c r="BA94" s="5">
        <v>35598000000000</v>
      </c>
      <c r="BB94" s="5">
        <v>555930000000000</v>
      </c>
      <c r="BC94" s="5">
        <v>16789000000000</v>
      </c>
      <c r="BD94" s="5">
        <v>268690000000000</v>
      </c>
      <c r="BE94" s="5">
        <v>12816000000000</v>
      </c>
      <c r="BF94" s="5">
        <v>141550000000000</v>
      </c>
      <c r="BG94" s="5">
        <v>8549900000000</v>
      </c>
      <c r="BH94" s="5">
        <v>83992000000000</v>
      </c>
      <c r="BI94" s="5">
        <v>5652700000000</v>
      </c>
      <c r="BJ94" s="5">
        <v>62134000000000</v>
      </c>
      <c r="BK94" s="5">
        <v>5324900000000</v>
      </c>
      <c r="BL94" s="5">
        <v>43689000000000</v>
      </c>
      <c r="BM94" s="5">
        <v>3800900000000</v>
      </c>
      <c r="BN94" s="5">
        <v>35999000000000</v>
      </c>
      <c r="BO94" s="5">
        <v>3790700000000</v>
      </c>
      <c r="BP94" s="5">
        <v>19262000000000</v>
      </c>
      <c r="BQ94" s="5">
        <v>1781700000000</v>
      </c>
      <c r="BR94" s="5">
        <v>18560000000000</v>
      </c>
      <c r="BS94" s="5">
        <v>2351600000000</v>
      </c>
      <c r="BT94" s="5">
        <v>9943600000000</v>
      </c>
      <c r="BU94" s="5">
        <v>1248900000000</v>
      </c>
      <c r="BV94" s="5">
        <v>6489600000000</v>
      </c>
      <c r="BW94" s="5">
        <v>824180000000</v>
      </c>
      <c r="BX94" s="5">
        <v>5099400000000</v>
      </c>
      <c r="BY94" s="5">
        <v>570110000000</v>
      </c>
      <c r="BZ94" s="5">
        <v>6317300000000</v>
      </c>
      <c r="CA94" s="5">
        <v>1772000000000</v>
      </c>
      <c r="CB94" s="5">
        <v>2830100000000</v>
      </c>
      <c r="CC94" s="5">
        <v>250470000000</v>
      </c>
      <c r="CD94" s="5">
        <v>2889600000000</v>
      </c>
      <c r="CE94" s="5">
        <v>357150000000</v>
      </c>
      <c r="CF94" s="5">
        <v>1731000000000</v>
      </c>
      <c r="CG94" s="5">
        <v>185400000000</v>
      </c>
      <c r="CH94" s="5">
        <v>833180000000</v>
      </c>
      <c r="CI94" s="5">
        <v>109810000000</v>
      </c>
      <c r="CJ94" s="5">
        <v>753620000000</v>
      </c>
      <c r="CK94" s="5">
        <v>98047000000</v>
      </c>
      <c r="CL94" s="5">
        <v>553620000000</v>
      </c>
      <c r="CM94" s="5">
        <v>62060000000</v>
      </c>
      <c r="CN94" s="5">
        <v>300110000000</v>
      </c>
      <c r="CO94" s="5">
        <v>49939000000</v>
      </c>
      <c r="CP94" s="5">
        <v>138340000000</v>
      </c>
      <c r="CQ94" s="5">
        <v>19561000000</v>
      </c>
      <c r="CR94" s="5">
        <v>77178000000</v>
      </c>
      <c r="CS94" s="5">
        <v>14178000000</v>
      </c>
      <c r="CT94" s="5">
        <v>34743000000</v>
      </c>
      <c r="CU94" s="5">
        <v>7956100000</v>
      </c>
      <c r="CV94" s="5">
        <v>33556000000</v>
      </c>
      <c r="CW94" s="5">
        <v>6570200000</v>
      </c>
      <c r="CX94" s="5">
        <v>23753000000</v>
      </c>
      <c r="CY94" s="5">
        <v>6213700000</v>
      </c>
      <c r="CZ94" s="5">
        <v>9532200000</v>
      </c>
      <c r="DA94" s="5">
        <v>3134200000</v>
      </c>
      <c r="DB94" s="5">
        <v>357560000</v>
      </c>
      <c r="DC94" s="5">
        <v>148640000</v>
      </c>
      <c r="DD94" s="5">
        <v>450120000</v>
      </c>
      <c r="DE94" s="5">
        <v>381470000</v>
      </c>
      <c r="DF94" s="5">
        <v>1374400000</v>
      </c>
      <c r="DG94" s="5">
        <v>1374400000</v>
      </c>
      <c r="DH94" s="5">
        <v>0</v>
      </c>
      <c r="DI94" s="5">
        <v>0</v>
      </c>
      <c r="DJ94" s="5">
        <v>0</v>
      </c>
      <c r="DK94" s="5">
        <v>0</v>
      </c>
      <c r="DL94" s="5">
        <v>0</v>
      </c>
      <c r="DM94" s="5">
        <v>0</v>
      </c>
      <c r="DN94" s="5">
        <v>0</v>
      </c>
      <c r="DO94" s="5">
        <v>0</v>
      </c>
      <c r="DP94" s="5">
        <v>0</v>
      </c>
      <c r="DQ94" s="5">
        <v>0</v>
      </c>
      <c r="DR94" s="5">
        <v>0</v>
      </c>
      <c r="DS94" s="5">
        <v>0</v>
      </c>
      <c r="DT94" s="5">
        <v>0</v>
      </c>
      <c r="DU94" s="5">
        <v>0</v>
      </c>
      <c r="DV94" s="5">
        <v>0</v>
      </c>
      <c r="DW94" s="5">
        <v>0</v>
      </c>
      <c r="DX94" s="5">
        <v>0</v>
      </c>
      <c r="DY94" s="5">
        <v>0</v>
      </c>
      <c r="DZ94" s="5">
        <v>0</v>
      </c>
      <c r="EA94" s="5">
        <v>0</v>
      </c>
      <c r="EB94" s="5">
        <v>0</v>
      </c>
      <c r="EC94" s="5">
        <v>0</v>
      </c>
      <c r="ED94" s="5">
        <v>0</v>
      </c>
      <c r="EE94" s="5">
        <v>0</v>
      </c>
      <c r="EF94" s="5">
        <v>0</v>
      </c>
      <c r="EG94" s="5">
        <v>0</v>
      </c>
      <c r="EH94" s="5">
        <v>0</v>
      </c>
      <c r="EI94" s="5">
        <v>0</v>
      </c>
      <c r="EJ94" s="5">
        <v>0</v>
      </c>
      <c r="EK94" s="5">
        <v>0</v>
      </c>
      <c r="EL94" s="5">
        <v>0</v>
      </c>
      <c r="EM94" s="5">
        <v>0</v>
      </c>
      <c r="EN94" s="5">
        <v>0</v>
      </c>
      <c r="EO94" s="5">
        <v>0</v>
      </c>
      <c r="EP94" s="5">
        <v>0</v>
      </c>
      <c r="EQ94" s="5">
        <v>0</v>
      </c>
    </row>
    <row r="95" spans="1:147">
      <c r="A95" s="5"/>
      <c r="B95" s="5"/>
      <c r="C95" s="5"/>
      <c r="D95" s="5"/>
      <c r="E95" s="5">
        <v>93497000000000</v>
      </c>
      <c r="F95" s="5">
        <v>113770000000000</v>
      </c>
      <c r="G95" s="5">
        <v>104290000000000</v>
      </c>
      <c r="H95" s="5">
        <v>538710000000000</v>
      </c>
      <c r="I95" s="5">
        <v>227340000000000</v>
      </c>
      <c r="J95" s="5">
        <v>369520000000000</v>
      </c>
      <c r="K95" s="5">
        <v>139420000000000</v>
      </c>
      <c r="L95" s="5">
        <v>556070000000000</v>
      </c>
      <c r="M95" s="5">
        <v>176050000000000</v>
      </c>
      <c r="N95" s="5">
        <v>772490000000000</v>
      </c>
      <c r="O95" s="5">
        <v>181070000000000</v>
      </c>
      <c r="P95" s="5">
        <v>1516500000000000</v>
      </c>
      <c r="Q95" s="5">
        <v>306020000000000</v>
      </c>
      <c r="R95" s="5">
        <v>1941600000000000</v>
      </c>
      <c r="S95" s="5">
        <v>276680000000000</v>
      </c>
      <c r="T95" s="5">
        <v>3051100000000000</v>
      </c>
      <c r="U95" s="5">
        <v>315490000000000</v>
      </c>
      <c r="V95" s="5">
        <v>4171200000000000</v>
      </c>
      <c r="W95" s="5">
        <v>330770000000000</v>
      </c>
      <c r="X95" s="5">
        <v>5264800000000000</v>
      </c>
      <c r="Y95" s="5">
        <v>318520000000000</v>
      </c>
      <c r="Z95" s="5">
        <v>7005300000000000</v>
      </c>
      <c r="AA95" s="5">
        <v>353770000000000</v>
      </c>
      <c r="AB95" s="5">
        <v>7365600000000000</v>
      </c>
      <c r="AC95" s="5">
        <v>294630000000000</v>
      </c>
      <c r="AD95" s="5">
        <v>1.0565E+16</v>
      </c>
      <c r="AE95" s="5">
        <v>320130000000000</v>
      </c>
      <c r="AF95" s="5">
        <v>1.384E+16</v>
      </c>
      <c r="AG95" s="5">
        <v>322470000000000</v>
      </c>
      <c r="AH95" s="5">
        <v>1.6692E+16</v>
      </c>
      <c r="AI95" s="5">
        <v>317140000000000</v>
      </c>
      <c r="AJ95" s="5">
        <v>1.9989E+16</v>
      </c>
      <c r="AK95" s="5">
        <v>321830000000000</v>
      </c>
      <c r="AL95" s="5">
        <v>2.337E+16</v>
      </c>
      <c r="AM95" s="5">
        <v>317840000000000</v>
      </c>
      <c r="AN95" s="5">
        <v>2.646E+16</v>
      </c>
      <c r="AO95" s="5">
        <v>306930000000000</v>
      </c>
      <c r="AP95" s="5">
        <v>2.5227E+16</v>
      </c>
      <c r="AQ95" s="5">
        <v>272450000000000</v>
      </c>
      <c r="AR95" s="5">
        <v>2.5462E+16</v>
      </c>
      <c r="AS95" s="5">
        <v>252070000000000</v>
      </c>
      <c r="AT95" s="5">
        <v>1.8709E+16</v>
      </c>
      <c r="AU95" s="5">
        <v>196450000000000</v>
      </c>
      <c r="AV95" s="5">
        <v>8731600000000000</v>
      </c>
      <c r="AW95" s="5">
        <v>110890000000000</v>
      </c>
      <c r="AX95" s="5">
        <v>2753600000000000</v>
      </c>
      <c r="AY95" s="5">
        <v>50390000000000</v>
      </c>
      <c r="AZ95" s="5">
        <v>848240000000000</v>
      </c>
      <c r="BA95" s="5">
        <v>21545000000000</v>
      </c>
      <c r="BB95" s="5">
        <v>331840000000000</v>
      </c>
      <c r="BC95" s="5">
        <v>13174000000000</v>
      </c>
      <c r="BD95" s="5">
        <v>167210000000000</v>
      </c>
      <c r="BE95" s="5">
        <v>8678200000000</v>
      </c>
      <c r="BF95" s="5">
        <v>94648000000000</v>
      </c>
      <c r="BG95" s="5">
        <v>6597000000000</v>
      </c>
      <c r="BH95" s="5">
        <v>51697000000000</v>
      </c>
      <c r="BI95" s="5">
        <v>4084100000000</v>
      </c>
      <c r="BJ95" s="5">
        <v>38187000000000</v>
      </c>
      <c r="BK95" s="5">
        <v>3310800000000</v>
      </c>
      <c r="BL95" s="5">
        <v>25570000000000</v>
      </c>
      <c r="BM95" s="5">
        <v>2539100000000</v>
      </c>
      <c r="BN95" s="5">
        <v>20598000000000</v>
      </c>
      <c r="BO95" s="5">
        <v>1973300000000</v>
      </c>
      <c r="BP95" s="5">
        <v>19764000000000</v>
      </c>
      <c r="BQ95" s="5">
        <v>2233300000000</v>
      </c>
      <c r="BR95" s="5">
        <v>10423000000000</v>
      </c>
      <c r="BS95" s="5">
        <v>1378000000000</v>
      </c>
      <c r="BT95" s="5">
        <v>7535600000000</v>
      </c>
      <c r="BU95" s="5">
        <v>1222300000000</v>
      </c>
      <c r="BV95" s="5">
        <v>5566800000000</v>
      </c>
      <c r="BW95" s="5">
        <v>1021500000000</v>
      </c>
      <c r="BX95" s="5">
        <v>2937100000000</v>
      </c>
      <c r="BY95" s="5">
        <v>389760000000</v>
      </c>
      <c r="BZ95" s="5">
        <v>2251100000000</v>
      </c>
      <c r="CA95" s="5">
        <v>244020000000</v>
      </c>
      <c r="CB95" s="5">
        <v>2802400000000</v>
      </c>
      <c r="CC95" s="5">
        <v>663040000000</v>
      </c>
      <c r="CD95" s="5">
        <v>1517700000000</v>
      </c>
      <c r="CE95" s="5">
        <v>142810000000</v>
      </c>
      <c r="CF95" s="5">
        <v>1170200000000</v>
      </c>
      <c r="CG95" s="5">
        <v>159030000000</v>
      </c>
      <c r="CH95" s="5">
        <v>451400000000</v>
      </c>
      <c r="CI95" s="5">
        <v>66581000000</v>
      </c>
      <c r="CJ95" s="5">
        <v>529560000000</v>
      </c>
      <c r="CK95" s="5">
        <v>72338000000</v>
      </c>
      <c r="CL95" s="5">
        <v>304920000000</v>
      </c>
      <c r="CM95" s="5">
        <v>40249000000</v>
      </c>
      <c r="CN95" s="5">
        <v>125640000000</v>
      </c>
      <c r="CO95" s="5">
        <v>18657000000</v>
      </c>
      <c r="CP95" s="5">
        <v>67677000000</v>
      </c>
      <c r="CQ95" s="5">
        <v>15897000000</v>
      </c>
      <c r="CR95" s="5">
        <v>33532000000</v>
      </c>
      <c r="CS95" s="5">
        <v>13624000000</v>
      </c>
      <c r="CT95" s="5">
        <v>14848000000</v>
      </c>
      <c r="CU95" s="5">
        <v>5545700000</v>
      </c>
      <c r="CV95" s="5">
        <v>19580000000</v>
      </c>
      <c r="CW95" s="5">
        <v>4953700000</v>
      </c>
      <c r="CX95" s="5">
        <v>4015100000</v>
      </c>
      <c r="CY95" s="5">
        <v>1563100000</v>
      </c>
      <c r="CZ95" s="5">
        <v>2601300000</v>
      </c>
      <c r="DA95" s="5">
        <v>1858400000</v>
      </c>
      <c r="DB95" s="5">
        <v>2569800000</v>
      </c>
      <c r="DC95" s="5">
        <v>1490000000</v>
      </c>
      <c r="DD95" s="5">
        <v>0</v>
      </c>
      <c r="DE95" s="5">
        <v>0</v>
      </c>
      <c r="DF95" s="5">
        <v>139200000</v>
      </c>
      <c r="DG95" s="5">
        <v>139200000</v>
      </c>
      <c r="DH95" s="5">
        <v>0</v>
      </c>
      <c r="DI95" s="5">
        <v>0</v>
      </c>
      <c r="DJ95" s="5">
        <v>0</v>
      </c>
      <c r="DK95" s="5">
        <v>0</v>
      </c>
      <c r="DL95" s="5">
        <v>0</v>
      </c>
      <c r="DM95" s="5">
        <v>0</v>
      </c>
      <c r="DN95" s="5">
        <v>0</v>
      </c>
      <c r="DO95" s="5">
        <v>0</v>
      </c>
      <c r="DP95" s="5">
        <v>0</v>
      </c>
      <c r="DQ95" s="5">
        <v>0</v>
      </c>
      <c r="DR95" s="5">
        <v>0</v>
      </c>
      <c r="DS95" s="5">
        <v>0</v>
      </c>
      <c r="DT95" s="5">
        <v>0</v>
      </c>
      <c r="DU95" s="5">
        <v>0</v>
      </c>
      <c r="DV95" s="5">
        <v>0</v>
      </c>
      <c r="DW95" s="5">
        <v>0</v>
      </c>
      <c r="DX95" s="5">
        <v>0</v>
      </c>
      <c r="DY95" s="5">
        <v>0</v>
      </c>
      <c r="DZ95" s="5">
        <v>0</v>
      </c>
      <c r="EA95" s="5">
        <v>0</v>
      </c>
      <c r="EB95" s="5">
        <v>0</v>
      </c>
      <c r="EC95" s="5">
        <v>0</v>
      </c>
      <c r="ED95" s="5">
        <v>0</v>
      </c>
      <c r="EE95" s="5">
        <v>0</v>
      </c>
      <c r="EF95" s="5">
        <v>0</v>
      </c>
      <c r="EG95" s="5">
        <v>0</v>
      </c>
      <c r="EH95" s="5">
        <v>0</v>
      </c>
      <c r="EI95" s="5">
        <v>0</v>
      </c>
      <c r="EJ95" s="5">
        <v>0</v>
      </c>
      <c r="EK95" s="5">
        <v>0</v>
      </c>
      <c r="EL95" s="5">
        <v>0</v>
      </c>
      <c r="EM95" s="5">
        <v>0</v>
      </c>
      <c r="EN95" s="5">
        <v>0</v>
      </c>
      <c r="EO95" s="5">
        <v>0</v>
      </c>
      <c r="EP95" s="5">
        <v>0</v>
      </c>
      <c r="EQ95" s="5">
        <v>0</v>
      </c>
    </row>
    <row r="96" spans="1:147">
      <c r="A96" s="5"/>
      <c r="B96" s="5"/>
      <c r="C96" s="5"/>
      <c r="D96" s="5"/>
      <c r="E96" s="5">
        <v>5438000000000</v>
      </c>
      <c r="F96" s="5">
        <v>244140000000000</v>
      </c>
      <c r="G96" s="5">
        <v>154220000000000</v>
      </c>
      <c r="H96" s="5">
        <v>384610000000000</v>
      </c>
      <c r="I96" s="5">
        <v>175920000000000</v>
      </c>
      <c r="J96" s="5">
        <v>417490000000000</v>
      </c>
      <c r="K96" s="5">
        <v>164530000000000</v>
      </c>
      <c r="L96" s="5">
        <v>482190000000000</v>
      </c>
      <c r="M96" s="5">
        <v>138580000000000</v>
      </c>
      <c r="N96" s="5">
        <v>909290000000000</v>
      </c>
      <c r="O96" s="5">
        <v>187040000000000</v>
      </c>
      <c r="P96" s="5">
        <v>1484800000000000</v>
      </c>
      <c r="Q96" s="5">
        <v>219160000000000</v>
      </c>
      <c r="R96" s="5">
        <v>2379000000000000</v>
      </c>
      <c r="S96" s="5">
        <v>254790000000000</v>
      </c>
      <c r="T96" s="5">
        <v>3119500000000000</v>
      </c>
      <c r="U96" s="5">
        <v>286680000000000</v>
      </c>
      <c r="V96" s="5">
        <v>5091200000000000</v>
      </c>
      <c r="W96" s="5">
        <v>310560000000000</v>
      </c>
      <c r="X96" s="5">
        <v>5977800000000000</v>
      </c>
      <c r="Y96" s="5">
        <v>313240000000000</v>
      </c>
      <c r="Z96" s="5">
        <v>7267600000000000</v>
      </c>
      <c r="AA96" s="5">
        <v>300880000000000</v>
      </c>
      <c r="AB96" s="5">
        <v>7962900000000000</v>
      </c>
      <c r="AC96" s="5">
        <v>277910000000000</v>
      </c>
      <c r="AD96" s="5">
        <v>1.1006E+16</v>
      </c>
      <c r="AE96" s="5">
        <v>303760000000000</v>
      </c>
      <c r="AF96" s="5">
        <v>1.478E+16</v>
      </c>
      <c r="AG96" s="5">
        <v>310370000000000</v>
      </c>
      <c r="AH96" s="5">
        <v>1.8039E+16</v>
      </c>
      <c r="AI96" s="5">
        <v>304860000000000</v>
      </c>
      <c r="AJ96" s="5">
        <v>2.0421E+16</v>
      </c>
      <c r="AK96" s="5">
        <v>298140000000000</v>
      </c>
      <c r="AL96" s="5">
        <v>2.3546E+16</v>
      </c>
      <c r="AM96" s="5">
        <v>294330000000000</v>
      </c>
      <c r="AN96" s="5">
        <v>2.5306E+16</v>
      </c>
      <c r="AO96" s="5">
        <v>275830000000000</v>
      </c>
      <c r="AP96" s="5">
        <v>2.2903E+16</v>
      </c>
      <c r="AQ96" s="5">
        <v>242780000000000</v>
      </c>
      <c r="AR96" s="5">
        <v>2.0572E+16</v>
      </c>
      <c r="AS96" s="5">
        <v>207770000000000</v>
      </c>
      <c r="AT96" s="5">
        <v>1.19E+16</v>
      </c>
      <c r="AU96" s="5">
        <v>147560000000000</v>
      </c>
      <c r="AV96" s="5">
        <v>4511300000000000</v>
      </c>
      <c r="AW96" s="5">
        <v>72181000000000</v>
      </c>
      <c r="AX96" s="5">
        <v>1416900000000000</v>
      </c>
      <c r="AY96" s="5">
        <v>32588000000000</v>
      </c>
      <c r="AZ96" s="5">
        <v>507280000000000</v>
      </c>
      <c r="BA96" s="5">
        <v>16284000000000</v>
      </c>
      <c r="BB96" s="5">
        <v>211640000000000</v>
      </c>
      <c r="BC96" s="5">
        <v>9883700000000</v>
      </c>
      <c r="BD96" s="5">
        <v>104420000000000</v>
      </c>
      <c r="BE96" s="5">
        <v>7277800000000</v>
      </c>
      <c r="BF96" s="5">
        <v>54410000000000</v>
      </c>
      <c r="BG96" s="5">
        <v>4249400000000</v>
      </c>
      <c r="BH96" s="5">
        <v>33805000000000</v>
      </c>
      <c r="BI96" s="5">
        <v>2849700000000</v>
      </c>
      <c r="BJ96" s="5">
        <v>26482000000000</v>
      </c>
      <c r="BK96" s="5">
        <v>4168300000000</v>
      </c>
      <c r="BL96" s="5">
        <v>20966000000000</v>
      </c>
      <c r="BM96" s="5">
        <v>2159400000000</v>
      </c>
      <c r="BN96" s="5">
        <v>11691000000000</v>
      </c>
      <c r="BO96" s="5">
        <v>1326900000000</v>
      </c>
      <c r="BP96" s="5">
        <v>9688800000000</v>
      </c>
      <c r="BQ96" s="5">
        <v>1176200000000</v>
      </c>
      <c r="BR96" s="5">
        <v>6627000000000</v>
      </c>
      <c r="BS96" s="5">
        <v>818440000000</v>
      </c>
      <c r="BT96" s="5">
        <v>3455900000000</v>
      </c>
      <c r="BU96" s="5">
        <v>423690000000</v>
      </c>
      <c r="BV96" s="5">
        <v>2545500000000</v>
      </c>
      <c r="BW96" s="5">
        <v>443930000000</v>
      </c>
      <c r="BX96" s="5">
        <v>2657400000000</v>
      </c>
      <c r="BY96" s="5">
        <v>368850000000</v>
      </c>
      <c r="BZ96" s="5">
        <v>2283600000000</v>
      </c>
      <c r="CA96" s="5">
        <v>278370000000</v>
      </c>
      <c r="CB96" s="5">
        <v>1246400000000</v>
      </c>
      <c r="CC96" s="5">
        <v>132750000000</v>
      </c>
      <c r="CD96" s="5">
        <v>1160000000000</v>
      </c>
      <c r="CE96" s="5">
        <v>153360000000</v>
      </c>
      <c r="CF96" s="5">
        <v>738220000000</v>
      </c>
      <c r="CG96" s="5">
        <v>106890000000</v>
      </c>
      <c r="CH96" s="5">
        <v>297470000000</v>
      </c>
      <c r="CI96" s="5">
        <v>56401000000</v>
      </c>
      <c r="CJ96" s="5">
        <v>260890000000</v>
      </c>
      <c r="CK96" s="5">
        <v>40412000000</v>
      </c>
      <c r="CL96" s="5">
        <v>226230000000</v>
      </c>
      <c r="CM96" s="5">
        <v>32283000000</v>
      </c>
      <c r="CN96" s="5">
        <v>120540000000</v>
      </c>
      <c r="CO96" s="5">
        <v>22505000000</v>
      </c>
      <c r="CP96" s="5">
        <v>68468000000</v>
      </c>
      <c r="CQ96" s="5">
        <v>17322000000</v>
      </c>
      <c r="CR96" s="5">
        <v>16748000000</v>
      </c>
      <c r="CS96" s="5">
        <v>5793200000</v>
      </c>
      <c r="CT96" s="5">
        <v>3371900000</v>
      </c>
      <c r="CU96" s="5">
        <v>1635700000</v>
      </c>
      <c r="CV96" s="5">
        <v>15746000000</v>
      </c>
      <c r="CW96" s="5">
        <v>11085000000</v>
      </c>
      <c r="CX96" s="5">
        <v>1243500000</v>
      </c>
      <c r="CY96" s="5">
        <v>849410000</v>
      </c>
      <c r="CZ96" s="5">
        <v>2393600000</v>
      </c>
      <c r="DA96" s="5">
        <v>1655400000</v>
      </c>
      <c r="DB96" s="5">
        <v>0</v>
      </c>
      <c r="DC96" s="5">
        <v>0</v>
      </c>
      <c r="DD96" s="5">
        <v>0</v>
      </c>
      <c r="DE96" s="5">
        <v>0</v>
      </c>
      <c r="DF96" s="5">
        <v>0</v>
      </c>
      <c r="DG96" s="5">
        <v>0</v>
      </c>
      <c r="DH96" s="5">
        <v>0</v>
      </c>
      <c r="DI96" s="5">
        <v>0</v>
      </c>
      <c r="DJ96" s="5">
        <v>0</v>
      </c>
      <c r="DK96" s="5">
        <v>0</v>
      </c>
      <c r="DL96" s="5">
        <v>0</v>
      </c>
      <c r="DM96" s="5">
        <v>0</v>
      </c>
      <c r="DN96" s="5">
        <v>0</v>
      </c>
      <c r="DO96" s="5">
        <v>0</v>
      </c>
      <c r="DP96" s="5">
        <v>0</v>
      </c>
      <c r="DQ96" s="5">
        <v>0</v>
      </c>
      <c r="DR96" s="5">
        <v>0</v>
      </c>
      <c r="DS96" s="5">
        <v>0</v>
      </c>
      <c r="DT96" s="5">
        <v>0</v>
      </c>
      <c r="DU96" s="5">
        <v>0</v>
      </c>
      <c r="DV96" s="5">
        <v>0</v>
      </c>
      <c r="DW96" s="5">
        <v>0</v>
      </c>
      <c r="DX96" s="5">
        <v>0</v>
      </c>
      <c r="DY96" s="5">
        <v>0</v>
      </c>
      <c r="DZ96" s="5">
        <v>0</v>
      </c>
      <c r="EA96" s="5">
        <v>0</v>
      </c>
      <c r="EB96" s="5">
        <v>0</v>
      </c>
      <c r="EC96" s="5">
        <v>0</v>
      </c>
      <c r="ED96" s="5">
        <v>0</v>
      </c>
      <c r="EE96" s="5">
        <v>0</v>
      </c>
      <c r="EF96" s="5">
        <v>0</v>
      </c>
      <c r="EG96" s="5">
        <v>0</v>
      </c>
      <c r="EH96" s="5">
        <v>0</v>
      </c>
      <c r="EI96" s="5">
        <v>0</v>
      </c>
      <c r="EJ96" s="5">
        <v>0</v>
      </c>
      <c r="EK96" s="5">
        <v>0</v>
      </c>
      <c r="EL96" s="5">
        <v>0</v>
      </c>
      <c r="EM96" s="5">
        <v>0</v>
      </c>
      <c r="EN96" s="5">
        <v>0</v>
      </c>
      <c r="EO96" s="5">
        <v>0</v>
      </c>
      <c r="EP96" s="5">
        <v>0</v>
      </c>
      <c r="EQ96" s="5">
        <v>0</v>
      </c>
    </row>
    <row r="97" spans="1:147">
      <c r="A97" s="5"/>
      <c r="B97" s="5"/>
      <c r="C97" s="5"/>
      <c r="D97" s="5"/>
      <c r="E97" s="5">
        <v>110400000000000</v>
      </c>
      <c r="F97" s="5">
        <v>404840000000000</v>
      </c>
      <c r="G97" s="5">
        <v>197970000000000</v>
      </c>
      <c r="H97" s="5">
        <v>574140000000000</v>
      </c>
      <c r="I97" s="5">
        <v>292640000000000</v>
      </c>
      <c r="J97" s="5">
        <v>437300000000000</v>
      </c>
      <c r="K97" s="5">
        <v>153320000000000</v>
      </c>
      <c r="L97" s="5">
        <v>702670000000000</v>
      </c>
      <c r="M97" s="5">
        <v>172150000000000</v>
      </c>
      <c r="N97" s="5">
        <v>1408800000000000</v>
      </c>
      <c r="O97" s="5">
        <v>228510000000000</v>
      </c>
      <c r="P97" s="5">
        <v>1948100000000000</v>
      </c>
      <c r="Q97" s="5">
        <v>299230000000000</v>
      </c>
      <c r="R97" s="5">
        <v>2383600000000000</v>
      </c>
      <c r="S97" s="5">
        <v>230020000000000</v>
      </c>
      <c r="T97" s="5">
        <v>3498100000000000</v>
      </c>
      <c r="U97" s="5">
        <v>265160000000000</v>
      </c>
      <c r="V97" s="5">
        <v>5310900000000000</v>
      </c>
      <c r="W97" s="5">
        <v>286260000000000</v>
      </c>
      <c r="X97" s="5">
        <v>6552600000000000</v>
      </c>
      <c r="Y97" s="5">
        <v>302730000000000</v>
      </c>
      <c r="Z97" s="5">
        <v>8370900000000000</v>
      </c>
      <c r="AA97" s="5">
        <v>306380000000000</v>
      </c>
      <c r="AB97" s="5">
        <v>9305400000000000</v>
      </c>
      <c r="AC97" s="5">
        <v>293120000000000</v>
      </c>
      <c r="AD97" s="5">
        <v>1.1365E+16</v>
      </c>
      <c r="AE97" s="5">
        <v>278440000000000</v>
      </c>
      <c r="AF97" s="5">
        <v>1.5708E+16</v>
      </c>
      <c r="AG97" s="5">
        <v>296880000000000</v>
      </c>
      <c r="AH97" s="5">
        <v>1.8314E+16</v>
      </c>
      <c r="AI97" s="5">
        <v>304010000000000</v>
      </c>
      <c r="AJ97" s="5">
        <v>1.9788E+16</v>
      </c>
      <c r="AK97" s="5">
        <v>269110000000000</v>
      </c>
      <c r="AL97" s="5">
        <v>2.2314E+16</v>
      </c>
      <c r="AM97" s="5">
        <v>261070000000000</v>
      </c>
      <c r="AN97" s="5">
        <v>2.4071E+16</v>
      </c>
      <c r="AO97" s="5">
        <v>247930000000000</v>
      </c>
      <c r="AP97" s="5">
        <v>1.8446E+16</v>
      </c>
      <c r="AQ97" s="5">
        <v>199210000000000</v>
      </c>
      <c r="AR97" s="5">
        <v>1.3031E+16</v>
      </c>
      <c r="AS97" s="5">
        <v>156370000000000</v>
      </c>
      <c r="AT97" s="5">
        <v>6369000000000000</v>
      </c>
      <c r="AU97" s="5">
        <v>99356000000000</v>
      </c>
      <c r="AV97" s="5">
        <v>2447700000000000</v>
      </c>
      <c r="AW97" s="5">
        <v>51891000000000</v>
      </c>
      <c r="AX97" s="5">
        <v>842420000000000</v>
      </c>
      <c r="AY97" s="5">
        <v>27210000000000</v>
      </c>
      <c r="AZ97" s="5">
        <v>292390000000000</v>
      </c>
      <c r="BA97" s="5">
        <v>11783000000000</v>
      </c>
      <c r="BB97" s="5">
        <v>141030000000000</v>
      </c>
      <c r="BC97" s="5">
        <v>7403900000000</v>
      </c>
      <c r="BD97" s="5">
        <v>63403000000000</v>
      </c>
      <c r="BE97" s="5">
        <v>4552300000000</v>
      </c>
      <c r="BF97" s="5">
        <v>38140000000000</v>
      </c>
      <c r="BG97" s="5">
        <v>3226600000000</v>
      </c>
      <c r="BH97" s="5">
        <v>32738000000000</v>
      </c>
      <c r="BI97" s="5">
        <v>3231200000000</v>
      </c>
      <c r="BJ97" s="5">
        <v>18403000000000</v>
      </c>
      <c r="BK97" s="5">
        <v>2206500000000</v>
      </c>
      <c r="BL97" s="5">
        <v>18115000000000</v>
      </c>
      <c r="BM97" s="5">
        <v>3278800000000</v>
      </c>
      <c r="BN97" s="5">
        <v>9326900000000</v>
      </c>
      <c r="BO97" s="5">
        <v>1081000000000</v>
      </c>
      <c r="BP97" s="5">
        <v>8411900000000</v>
      </c>
      <c r="BQ97" s="5">
        <v>1249200000000</v>
      </c>
      <c r="BR97" s="5">
        <v>4448200000000</v>
      </c>
      <c r="BS97" s="5">
        <v>638760000000</v>
      </c>
      <c r="BT97" s="5">
        <v>3453800000000</v>
      </c>
      <c r="BU97" s="5">
        <v>811300000000</v>
      </c>
      <c r="BV97" s="5">
        <v>2210600000000</v>
      </c>
      <c r="BW97" s="5">
        <v>408740000000</v>
      </c>
      <c r="BX97" s="5">
        <v>1643000000000</v>
      </c>
      <c r="BY97" s="5">
        <v>269120000000</v>
      </c>
      <c r="BZ97" s="5">
        <v>1255300000000</v>
      </c>
      <c r="CA97" s="5">
        <v>170350000000</v>
      </c>
      <c r="CB97" s="5">
        <v>1511800000000</v>
      </c>
      <c r="CC97" s="5">
        <v>473190000000</v>
      </c>
      <c r="CD97" s="5">
        <v>975230000000</v>
      </c>
      <c r="CE97" s="5">
        <v>121320000000</v>
      </c>
      <c r="CF97" s="5">
        <v>502660000000</v>
      </c>
      <c r="CG97" s="5">
        <v>74796000000</v>
      </c>
      <c r="CH97" s="5">
        <v>203750000000</v>
      </c>
      <c r="CI97" s="5">
        <v>55399000000</v>
      </c>
      <c r="CJ97" s="5">
        <v>211820000000</v>
      </c>
      <c r="CK97" s="5">
        <v>33933000000</v>
      </c>
      <c r="CL97" s="5">
        <v>124910000000</v>
      </c>
      <c r="CM97" s="5">
        <v>22160000000</v>
      </c>
      <c r="CN97" s="5">
        <v>78625000000</v>
      </c>
      <c r="CO97" s="5">
        <v>18477000000</v>
      </c>
      <c r="CP97" s="5">
        <v>38134000000</v>
      </c>
      <c r="CQ97" s="5">
        <v>19734000000</v>
      </c>
      <c r="CR97" s="5">
        <v>6109000000</v>
      </c>
      <c r="CS97" s="5">
        <v>2575600000</v>
      </c>
      <c r="CT97" s="5">
        <v>870460000</v>
      </c>
      <c r="CU97" s="5">
        <v>389530000</v>
      </c>
      <c r="CV97" s="5">
        <v>1352400000</v>
      </c>
      <c r="CW97" s="5">
        <v>527830000</v>
      </c>
      <c r="CX97" s="5">
        <v>731160000</v>
      </c>
      <c r="CY97" s="5">
        <v>731160000</v>
      </c>
      <c r="CZ97" s="5">
        <v>0</v>
      </c>
      <c r="DA97" s="5">
        <v>0</v>
      </c>
      <c r="DB97" s="5">
        <v>0</v>
      </c>
      <c r="DC97" s="5">
        <v>0</v>
      </c>
      <c r="DD97" s="5">
        <v>0</v>
      </c>
      <c r="DE97" s="5">
        <v>0</v>
      </c>
      <c r="DF97" s="5">
        <v>0</v>
      </c>
      <c r="DG97" s="5">
        <v>0</v>
      </c>
      <c r="DH97" s="5">
        <v>0</v>
      </c>
      <c r="DI97" s="5">
        <v>0</v>
      </c>
      <c r="DJ97" s="5">
        <v>0</v>
      </c>
      <c r="DK97" s="5">
        <v>0</v>
      </c>
      <c r="DL97" s="5">
        <v>0</v>
      </c>
      <c r="DM97" s="5">
        <v>0</v>
      </c>
      <c r="DN97" s="5">
        <v>0</v>
      </c>
      <c r="DO97" s="5">
        <v>0</v>
      </c>
      <c r="DP97" s="5">
        <v>0</v>
      </c>
      <c r="DQ97" s="5">
        <v>0</v>
      </c>
      <c r="DR97" s="5">
        <v>0</v>
      </c>
      <c r="DS97" s="5">
        <v>0</v>
      </c>
      <c r="DT97" s="5">
        <v>0</v>
      </c>
      <c r="DU97" s="5">
        <v>0</v>
      </c>
      <c r="DV97" s="5">
        <v>0</v>
      </c>
      <c r="DW97" s="5">
        <v>0</v>
      </c>
      <c r="DX97" s="5">
        <v>0</v>
      </c>
      <c r="DY97" s="5">
        <v>0</v>
      </c>
      <c r="DZ97" s="5">
        <v>0</v>
      </c>
      <c r="EA97" s="5">
        <v>0</v>
      </c>
      <c r="EB97" s="5">
        <v>0</v>
      </c>
      <c r="EC97" s="5">
        <v>0</v>
      </c>
      <c r="ED97" s="5">
        <v>0</v>
      </c>
      <c r="EE97" s="5">
        <v>0</v>
      </c>
      <c r="EF97" s="5">
        <v>0</v>
      </c>
      <c r="EG97" s="5">
        <v>0</v>
      </c>
      <c r="EH97" s="5">
        <v>0</v>
      </c>
      <c r="EI97" s="5">
        <v>0</v>
      </c>
      <c r="EJ97" s="5">
        <v>0</v>
      </c>
      <c r="EK97" s="5">
        <v>0</v>
      </c>
      <c r="EL97" s="5">
        <v>0</v>
      </c>
      <c r="EM97" s="5">
        <v>0</v>
      </c>
      <c r="EN97" s="5">
        <v>0</v>
      </c>
      <c r="EO97" s="5">
        <v>0</v>
      </c>
      <c r="EP97" s="5">
        <v>0</v>
      </c>
      <c r="EQ97" s="5">
        <v>0</v>
      </c>
    </row>
    <row r="98" spans="1:147">
      <c r="A98" s="5"/>
      <c r="B98" s="5"/>
      <c r="C98" s="5"/>
      <c r="D98" s="5"/>
      <c r="E98" s="5">
        <v>149900000000000</v>
      </c>
      <c r="F98" s="5">
        <v>262730000000000</v>
      </c>
      <c r="G98" s="5">
        <v>132890000000000</v>
      </c>
      <c r="H98" s="5">
        <v>786060000000000</v>
      </c>
      <c r="I98" s="5">
        <v>219700000000000</v>
      </c>
      <c r="J98" s="5">
        <v>727980000000000</v>
      </c>
      <c r="K98" s="5">
        <v>159140000000000</v>
      </c>
      <c r="L98" s="5">
        <v>1186400000000000</v>
      </c>
      <c r="M98" s="5">
        <v>207380000000000</v>
      </c>
      <c r="N98" s="5">
        <v>1584900000000000</v>
      </c>
      <c r="O98" s="5">
        <v>220470000000000</v>
      </c>
      <c r="P98" s="5">
        <v>2330000000000000</v>
      </c>
      <c r="Q98" s="5">
        <v>260030000000000</v>
      </c>
      <c r="R98" s="5">
        <v>3517200000000000</v>
      </c>
      <c r="S98" s="5">
        <v>269070000000000</v>
      </c>
      <c r="T98" s="5">
        <v>3934300000000000</v>
      </c>
      <c r="U98" s="5">
        <v>268710000000000</v>
      </c>
      <c r="V98" s="5">
        <v>5802700000000000</v>
      </c>
      <c r="W98" s="5">
        <v>290140000000000</v>
      </c>
      <c r="X98" s="5">
        <v>6694800000000000</v>
      </c>
      <c r="Y98" s="5">
        <v>290560000000000</v>
      </c>
      <c r="Z98" s="5">
        <v>8564100000000000</v>
      </c>
      <c r="AA98" s="5">
        <v>280900000000000</v>
      </c>
      <c r="AB98" s="5">
        <v>9423500000000000</v>
      </c>
      <c r="AC98" s="5">
        <v>264800000000000</v>
      </c>
      <c r="AD98" s="5">
        <v>1.1699E+16</v>
      </c>
      <c r="AE98" s="5">
        <v>259730000000000</v>
      </c>
      <c r="AF98" s="5">
        <v>1.5641E+16</v>
      </c>
      <c r="AG98" s="5">
        <v>272160000000000</v>
      </c>
      <c r="AH98" s="5">
        <v>1.8021E+16</v>
      </c>
      <c r="AI98" s="5">
        <v>257700000000000</v>
      </c>
      <c r="AJ98" s="5">
        <v>1.995E+16</v>
      </c>
      <c r="AK98" s="5">
        <v>255370000000000</v>
      </c>
      <c r="AL98" s="5">
        <v>2.1086E+16</v>
      </c>
      <c r="AM98" s="5">
        <v>236170000000000</v>
      </c>
      <c r="AN98" s="5">
        <v>1.8733E+16</v>
      </c>
      <c r="AO98" s="5">
        <v>200450000000000</v>
      </c>
      <c r="AP98" s="5">
        <v>1.1883E+16</v>
      </c>
      <c r="AQ98" s="5">
        <v>149720000000000</v>
      </c>
      <c r="AR98" s="5">
        <v>7213400000000000</v>
      </c>
      <c r="AS98" s="5">
        <v>107480000000000</v>
      </c>
      <c r="AT98" s="5">
        <v>3462700000000000</v>
      </c>
      <c r="AU98" s="5">
        <v>66484000000000</v>
      </c>
      <c r="AV98" s="5">
        <v>1381500000000000</v>
      </c>
      <c r="AW98" s="5">
        <v>34815000000000</v>
      </c>
      <c r="AX98" s="5">
        <v>506760000000000</v>
      </c>
      <c r="AY98" s="5">
        <v>17331000000000</v>
      </c>
      <c r="AZ98" s="5">
        <v>214250000000000</v>
      </c>
      <c r="BA98" s="5">
        <v>11355000000000</v>
      </c>
      <c r="BB98" s="5">
        <v>80865000000000</v>
      </c>
      <c r="BC98" s="5">
        <v>4851900000000</v>
      </c>
      <c r="BD98" s="5">
        <v>43884000000000</v>
      </c>
      <c r="BE98" s="5">
        <v>3444900000000</v>
      </c>
      <c r="BF98" s="5">
        <v>24569000000000</v>
      </c>
      <c r="BG98" s="5">
        <v>2447000000000</v>
      </c>
      <c r="BH98" s="5">
        <v>19786000000000</v>
      </c>
      <c r="BI98" s="5">
        <v>2036000000000</v>
      </c>
      <c r="BJ98" s="5">
        <v>14174000000000</v>
      </c>
      <c r="BK98" s="5">
        <v>1743400000000</v>
      </c>
      <c r="BL98" s="5">
        <v>10876000000000</v>
      </c>
      <c r="BM98" s="5">
        <v>1590100000000</v>
      </c>
      <c r="BN98" s="5">
        <v>6279400000000</v>
      </c>
      <c r="BO98" s="5">
        <v>861540000000</v>
      </c>
      <c r="BP98" s="5">
        <v>4284300000000</v>
      </c>
      <c r="BQ98" s="5">
        <v>628930000000</v>
      </c>
      <c r="BR98" s="5">
        <v>2611200000000</v>
      </c>
      <c r="BS98" s="5">
        <v>372880000000</v>
      </c>
      <c r="BT98" s="5">
        <v>1824600000000</v>
      </c>
      <c r="BU98" s="5">
        <v>445580000000</v>
      </c>
      <c r="BV98" s="5">
        <v>962460000000</v>
      </c>
      <c r="BW98" s="5">
        <v>173150000000</v>
      </c>
      <c r="BX98" s="5">
        <v>670230000000</v>
      </c>
      <c r="BY98" s="5">
        <v>143560000000</v>
      </c>
      <c r="BZ98" s="5">
        <v>735610000000</v>
      </c>
      <c r="CA98" s="5">
        <v>123580000000</v>
      </c>
      <c r="CB98" s="5">
        <v>738080000000</v>
      </c>
      <c r="CC98" s="5">
        <v>107830000000</v>
      </c>
      <c r="CD98" s="5">
        <v>519810000000</v>
      </c>
      <c r="CE98" s="5">
        <v>76099000000</v>
      </c>
      <c r="CF98" s="5">
        <v>298740000000</v>
      </c>
      <c r="CG98" s="5">
        <v>60703000000</v>
      </c>
      <c r="CH98" s="5">
        <v>153060000000</v>
      </c>
      <c r="CI98" s="5">
        <v>39259000000</v>
      </c>
      <c r="CJ98" s="5">
        <v>99119000000</v>
      </c>
      <c r="CK98" s="5">
        <v>34652000000</v>
      </c>
      <c r="CL98" s="5">
        <v>81572000000</v>
      </c>
      <c r="CM98" s="5">
        <v>18737000000</v>
      </c>
      <c r="CN98" s="5">
        <v>35458000000</v>
      </c>
      <c r="CO98" s="5">
        <v>10364000000</v>
      </c>
      <c r="CP98" s="5">
        <v>11837000000</v>
      </c>
      <c r="CQ98" s="5">
        <v>5241400000</v>
      </c>
      <c r="CR98" s="5">
        <v>21024000000</v>
      </c>
      <c r="CS98" s="5">
        <v>13502000000</v>
      </c>
      <c r="CT98" s="5">
        <v>918160000</v>
      </c>
      <c r="CU98" s="5">
        <v>511140000</v>
      </c>
      <c r="CV98" s="5">
        <v>930400000</v>
      </c>
      <c r="CW98" s="5">
        <v>571170000</v>
      </c>
      <c r="CX98" s="5">
        <v>1356300000</v>
      </c>
      <c r="CY98" s="5">
        <v>1233400000</v>
      </c>
      <c r="CZ98" s="5">
        <v>0</v>
      </c>
      <c r="DA98" s="5">
        <v>0</v>
      </c>
      <c r="DB98" s="5">
        <v>0</v>
      </c>
      <c r="DC98" s="5">
        <v>0</v>
      </c>
      <c r="DD98" s="5">
        <v>0</v>
      </c>
      <c r="DE98" s="5">
        <v>0</v>
      </c>
      <c r="DF98" s="5">
        <v>0</v>
      </c>
      <c r="DG98" s="5">
        <v>0</v>
      </c>
      <c r="DH98" s="5">
        <v>0</v>
      </c>
      <c r="DI98" s="5">
        <v>0</v>
      </c>
      <c r="DJ98" s="5">
        <v>0</v>
      </c>
      <c r="DK98" s="5">
        <v>0</v>
      </c>
      <c r="DL98" s="5">
        <v>0</v>
      </c>
      <c r="DM98" s="5">
        <v>0</v>
      </c>
      <c r="DN98" s="5">
        <v>0</v>
      </c>
      <c r="DO98" s="5">
        <v>0</v>
      </c>
      <c r="DP98" s="5">
        <v>0</v>
      </c>
      <c r="DQ98" s="5">
        <v>0</v>
      </c>
      <c r="DR98" s="5">
        <v>0</v>
      </c>
      <c r="DS98" s="5">
        <v>0</v>
      </c>
      <c r="DT98" s="5">
        <v>0</v>
      </c>
      <c r="DU98" s="5">
        <v>0</v>
      </c>
      <c r="DV98" s="5">
        <v>0</v>
      </c>
      <c r="DW98" s="5">
        <v>0</v>
      </c>
      <c r="DX98" s="5">
        <v>0</v>
      </c>
      <c r="DY98" s="5">
        <v>0</v>
      </c>
      <c r="DZ98" s="5">
        <v>0</v>
      </c>
      <c r="EA98" s="5">
        <v>0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</row>
    <row r="99" spans="1:147">
      <c r="A99" s="5"/>
      <c r="B99" s="5"/>
      <c r="C99" s="5"/>
      <c r="D99" s="5"/>
      <c r="E99" s="5">
        <v>27199000000000</v>
      </c>
      <c r="F99" s="5">
        <v>288460000000000</v>
      </c>
      <c r="G99" s="5">
        <v>120310000000000</v>
      </c>
      <c r="H99" s="5">
        <v>638580000000000</v>
      </c>
      <c r="I99" s="5">
        <v>183270000000000</v>
      </c>
      <c r="J99" s="5">
        <v>1009900000000000</v>
      </c>
      <c r="K99" s="5">
        <v>247540000000000</v>
      </c>
      <c r="L99" s="5">
        <v>1533900000000000</v>
      </c>
      <c r="M99" s="5">
        <v>283770000000000</v>
      </c>
      <c r="N99" s="5">
        <v>1492100000000000</v>
      </c>
      <c r="O99" s="5">
        <v>198300000000000</v>
      </c>
      <c r="P99" s="5">
        <v>2101500000000000</v>
      </c>
      <c r="Q99" s="5">
        <v>228220000000000</v>
      </c>
      <c r="R99" s="5">
        <v>3432200000000000</v>
      </c>
      <c r="S99" s="5">
        <v>247800000000000</v>
      </c>
      <c r="T99" s="5">
        <v>7270000000000000</v>
      </c>
      <c r="U99" s="5">
        <v>3457600000000000</v>
      </c>
      <c r="V99" s="5">
        <v>5950500000000000</v>
      </c>
      <c r="W99" s="5">
        <v>265390000000000</v>
      </c>
      <c r="X99" s="5">
        <v>7343000000000000</v>
      </c>
      <c r="Y99" s="5">
        <v>284170000000000</v>
      </c>
      <c r="Z99" s="5">
        <v>8598900000000000</v>
      </c>
      <c r="AA99" s="5">
        <v>274310000000000</v>
      </c>
      <c r="AB99" s="5">
        <v>1.0423E+16</v>
      </c>
      <c r="AC99" s="5">
        <v>261620000000000</v>
      </c>
      <c r="AD99" s="5">
        <v>1.2791E+16</v>
      </c>
      <c r="AE99" s="5">
        <v>255830000000000</v>
      </c>
      <c r="AF99" s="5">
        <v>1.5255E+16</v>
      </c>
      <c r="AG99" s="5">
        <v>250180000000000</v>
      </c>
      <c r="AH99" s="5">
        <v>1.7258E+16</v>
      </c>
      <c r="AI99" s="5">
        <v>236430000000000</v>
      </c>
      <c r="AJ99" s="5">
        <v>1.8064E+16</v>
      </c>
      <c r="AK99" s="5">
        <v>218570000000000</v>
      </c>
      <c r="AL99" s="5">
        <v>1.64E+16</v>
      </c>
      <c r="AM99" s="5">
        <v>190240000000000</v>
      </c>
      <c r="AN99" s="5">
        <v>1.2175E+16</v>
      </c>
      <c r="AO99" s="5">
        <v>150970000000000</v>
      </c>
      <c r="AP99" s="5">
        <v>6750600000000000</v>
      </c>
      <c r="AQ99" s="5">
        <v>103960000000000</v>
      </c>
      <c r="AR99" s="5">
        <v>4071400000000000</v>
      </c>
      <c r="AS99" s="5">
        <v>75321000000000</v>
      </c>
      <c r="AT99" s="5">
        <v>1983100000000000</v>
      </c>
      <c r="AU99" s="5">
        <v>45412000000000</v>
      </c>
      <c r="AV99" s="5">
        <v>879990000000000</v>
      </c>
      <c r="AW99" s="5">
        <v>24288000000000</v>
      </c>
      <c r="AX99" s="5">
        <v>322070000000000</v>
      </c>
      <c r="AY99" s="5">
        <v>13044000000000</v>
      </c>
      <c r="AZ99" s="5">
        <v>133780000000000</v>
      </c>
      <c r="BA99" s="5">
        <v>8027100000000</v>
      </c>
      <c r="BB99" s="5">
        <v>54740000000000</v>
      </c>
      <c r="BC99" s="5">
        <v>4127400000000</v>
      </c>
      <c r="BD99" s="5">
        <v>31112000000000</v>
      </c>
      <c r="BE99" s="5">
        <v>2952500000000</v>
      </c>
      <c r="BF99" s="5">
        <v>16227000000000</v>
      </c>
      <c r="BG99" s="5">
        <v>1728200000000</v>
      </c>
      <c r="BH99" s="5">
        <v>10796000000000</v>
      </c>
      <c r="BI99" s="5">
        <v>1338700000000</v>
      </c>
      <c r="BJ99" s="5">
        <v>10630000000000</v>
      </c>
      <c r="BK99" s="5">
        <v>1342600000000</v>
      </c>
      <c r="BL99" s="5">
        <v>7016300000000</v>
      </c>
      <c r="BM99" s="5">
        <v>882650000000</v>
      </c>
      <c r="BN99" s="5">
        <v>3862300000000</v>
      </c>
      <c r="BO99" s="5">
        <v>653110000000</v>
      </c>
      <c r="BP99" s="5">
        <v>3261800000000</v>
      </c>
      <c r="BQ99" s="5">
        <v>565270000000</v>
      </c>
      <c r="BR99" s="5">
        <v>832150000000</v>
      </c>
      <c r="BS99" s="5">
        <v>149370000000</v>
      </c>
      <c r="BT99" s="5">
        <v>790020000000</v>
      </c>
      <c r="BU99" s="5">
        <v>195210000000</v>
      </c>
      <c r="BV99" s="5">
        <v>415870000000</v>
      </c>
      <c r="BW99" s="5">
        <v>101800000000</v>
      </c>
      <c r="BX99" s="5">
        <v>657690000000</v>
      </c>
      <c r="BY99" s="5">
        <v>124170000000</v>
      </c>
      <c r="BZ99" s="5">
        <v>432050000000</v>
      </c>
      <c r="CA99" s="5">
        <v>70339000000</v>
      </c>
      <c r="CB99" s="5">
        <v>420980000000</v>
      </c>
      <c r="CC99" s="5">
        <v>74177000000</v>
      </c>
      <c r="CD99" s="5">
        <v>263180000000</v>
      </c>
      <c r="CE99" s="5">
        <v>45082000000</v>
      </c>
      <c r="CF99" s="5">
        <v>160860000000</v>
      </c>
      <c r="CG99" s="5">
        <v>28729000000</v>
      </c>
      <c r="CH99" s="5">
        <v>77996000000</v>
      </c>
      <c r="CI99" s="5">
        <v>34919000000</v>
      </c>
      <c r="CJ99" s="5">
        <v>62675000000</v>
      </c>
      <c r="CK99" s="5">
        <v>19210000000</v>
      </c>
      <c r="CL99" s="5">
        <v>23978000000</v>
      </c>
      <c r="CM99" s="5">
        <v>7958300000</v>
      </c>
      <c r="CN99" s="5">
        <v>9304700000</v>
      </c>
      <c r="CO99" s="5">
        <v>4642100000</v>
      </c>
      <c r="CP99" s="5">
        <v>6505100000</v>
      </c>
      <c r="CQ99" s="5">
        <v>4792300000</v>
      </c>
      <c r="CR99" s="5">
        <v>3443900000</v>
      </c>
      <c r="CS99" s="5">
        <v>3287900000</v>
      </c>
      <c r="CT99" s="5">
        <v>0</v>
      </c>
      <c r="CU99" s="5">
        <v>0</v>
      </c>
      <c r="CV99" s="5">
        <v>0</v>
      </c>
      <c r="CW99" s="5">
        <v>0</v>
      </c>
      <c r="CX99" s="5">
        <v>0</v>
      </c>
      <c r="CY99" s="5">
        <v>0</v>
      </c>
      <c r="CZ99" s="5">
        <v>0</v>
      </c>
      <c r="DA99" s="5">
        <v>0</v>
      </c>
      <c r="DB99" s="5">
        <v>0</v>
      </c>
      <c r="DC99" s="5">
        <v>0</v>
      </c>
      <c r="DD99" s="5">
        <v>0</v>
      </c>
      <c r="DE99" s="5">
        <v>0</v>
      </c>
      <c r="DF99" s="5">
        <v>0</v>
      </c>
      <c r="DG99" s="5">
        <v>0</v>
      </c>
      <c r="DH99" s="5">
        <v>0</v>
      </c>
      <c r="DI99" s="5">
        <v>0</v>
      </c>
      <c r="DJ99" s="5">
        <v>0</v>
      </c>
      <c r="DK99" s="5">
        <v>0</v>
      </c>
      <c r="DL99" s="5">
        <v>0</v>
      </c>
      <c r="DM99" s="5">
        <v>0</v>
      </c>
      <c r="DN99" s="5">
        <v>0</v>
      </c>
      <c r="DO99" s="5">
        <v>0</v>
      </c>
      <c r="DP99" s="5">
        <v>0</v>
      </c>
      <c r="DQ99" s="5">
        <v>0</v>
      </c>
      <c r="DR99" s="5">
        <v>0</v>
      </c>
      <c r="DS99" s="5">
        <v>0</v>
      </c>
      <c r="DT99" s="5">
        <v>0</v>
      </c>
      <c r="DU99" s="5">
        <v>0</v>
      </c>
      <c r="DV99" s="5">
        <v>0</v>
      </c>
      <c r="DW99" s="5">
        <v>0</v>
      </c>
      <c r="DX99" s="5">
        <v>0</v>
      </c>
      <c r="DY99" s="5">
        <v>0</v>
      </c>
      <c r="DZ99" s="5">
        <v>0</v>
      </c>
      <c r="EA99" s="5">
        <v>0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</row>
    <row r="100" spans="1:147">
      <c r="A100" s="5"/>
      <c r="B100" s="5"/>
      <c r="C100" s="5"/>
      <c r="D100" s="5"/>
      <c r="E100" s="5">
        <v>197320000000000</v>
      </c>
      <c r="F100" s="5">
        <v>440350000000000</v>
      </c>
      <c r="G100" s="5">
        <v>178870000000000</v>
      </c>
      <c r="H100" s="5">
        <v>847550000000000</v>
      </c>
      <c r="I100" s="5">
        <v>197310000000000</v>
      </c>
      <c r="J100" s="5">
        <v>1126400000000000</v>
      </c>
      <c r="K100" s="5">
        <v>221220000000000</v>
      </c>
      <c r="L100" s="5">
        <v>1383500000000000</v>
      </c>
      <c r="M100" s="5">
        <v>207390000000000</v>
      </c>
      <c r="N100" s="5">
        <v>1774800000000000</v>
      </c>
      <c r="O100" s="5">
        <v>221140000000000</v>
      </c>
      <c r="P100" s="5">
        <v>2204600000000000</v>
      </c>
      <c r="Q100" s="5">
        <v>200840000000000</v>
      </c>
      <c r="R100" s="5">
        <v>3390700000000000</v>
      </c>
      <c r="S100" s="5">
        <v>245820000000000</v>
      </c>
      <c r="T100" s="5">
        <v>3959300000000000</v>
      </c>
      <c r="U100" s="5">
        <v>231220000000000</v>
      </c>
      <c r="V100" s="5">
        <v>6945400000000000</v>
      </c>
      <c r="W100" s="5">
        <v>284070000000000</v>
      </c>
      <c r="X100" s="5">
        <v>7939500000000000</v>
      </c>
      <c r="Y100" s="5">
        <v>269940000000000</v>
      </c>
      <c r="Z100" s="5">
        <v>8406100000000000</v>
      </c>
      <c r="AA100" s="5">
        <v>247980000000000</v>
      </c>
      <c r="AB100" s="5">
        <v>9558000000000000</v>
      </c>
      <c r="AC100" s="5">
        <v>230350000000000</v>
      </c>
      <c r="AD100" s="5">
        <v>1.2098E+16</v>
      </c>
      <c r="AE100" s="5">
        <v>235900000000000</v>
      </c>
      <c r="AF100" s="5">
        <v>1.4989E+16</v>
      </c>
      <c r="AG100" s="5">
        <v>224840000000000</v>
      </c>
      <c r="AH100" s="5">
        <v>1.5707E+16</v>
      </c>
      <c r="AI100" s="5">
        <v>212040000000000</v>
      </c>
      <c r="AJ100" s="5">
        <v>1.4573E+16</v>
      </c>
      <c r="AK100" s="5">
        <v>180700000000000</v>
      </c>
      <c r="AL100" s="5">
        <v>1.0877E+16</v>
      </c>
      <c r="AM100" s="5">
        <v>144660000000000</v>
      </c>
      <c r="AN100" s="5">
        <v>7149600000000000</v>
      </c>
      <c r="AO100" s="5">
        <v>107960000000000</v>
      </c>
      <c r="AP100" s="5">
        <v>4083900000000000</v>
      </c>
      <c r="AQ100" s="5">
        <v>75553000000000</v>
      </c>
      <c r="AR100" s="5">
        <v>2543700000000000</v>
      </c>
      <c r="AS100" s="5">
        <v>59013000000000</v>
      </c>
      <c r="AT100" s="5">
        <v>1358600000000000</v>
      </c>
      <c r="AU100" s="5">
        <v>33693000000000</v>
      </c>
      <c r="AV100" s="5">
        <v>600710000000000</v>
      </c>
      <c r="AW100" s="5">
        <v>20544000000000</v>
      </c>
      <c r="AX100" s="5">
        <v>224880000000000</v>
      </c>
      <c r="AY100" s="5">
        <v>10142000000000</v>
      </c>
      <c r="AZ100" s="5">
        <v>89926000000000</v>
      </c>
      <c r="BA100" s="5">
        <v>5197700000000</v>
      </c>
      <c r="BB100" s="5">
        <v>38574000000000</v>
      </c>
      <c r="BC100" s="5">
        <v>3093600000000</v>
      </c>
      <c r="BD100" s="5">
        <v>21849000000000</v>
      </c>
      <c r="BE100" s="5">
        <v>2184900000000</v>
      </c>
      <c r="BF100" s="5">
        <v>14962000000000</v>
      </c>
      <c r="BG100" s="5">
        <v>1659200000000</v>
      </c>
      <c r="BH100" s="5">
        <v>10229000000000</v>
      </c>
      <c r="BI100" s="5">
        <v>1500600000000</v>
      </c>
      <c r="BJ100" s="5">
        <v>6482900000000</v>
      </c>
      <c r="BK100" s="5">
        <v>810360000000</v>
      </c>
      <c r="BL100" s="5">
        <v>4373400000000</v>
      </c>
      <c r="BM100" s="5">
        <v>659080000000</v>
      </c>
      <c r="BN100" s="5">
        <v>3180300000000</v>
      </c>
      <c r="BO100" s="5">
        <v>619510000000</v>
      </c>
      <c r="BP100" s="5">
        <v>1508500000000</v>
      </c>
      <c r="BQ100" s="5">
        <v>287520000000</v>
      </c>
      <c r="BR100" s="5">
        <v>782990000000</v>
      </c>
      <c r="BS100" s="5">
        <v>163490000000</v>
      </c>
      <c r="BT100" s="5">
        <v>482710000000</v>
      </c>
      <c r="BU100" s="5">
        <v>185500000000</v>
      </c>
      <c r="BV100" s="5">
        <v>432840000000</v>
      </c>
      <c r="BW100" s="5">
        <v>217110000000</v>
      </c>
      <c r="BX100" s="5">
        <v>369780000000</v>
      </c>
      <c r="BY100" s="5">
        <v>107350000000</v>
      </c>
      <c r="BZ100" s="5">
        <v>326580000000</v>
      </c>
      <c r="CA100" s="5">
        <v>72795000000</v>
      </c>
      <c r="CB100" s="5">
        <v>236310000000</v>
      </c>
      <c r="CC100" s="5">
        <v>43812000000</v>
      </c>
      <c r="CD100" s="5">
        <v>131820000000</v>
      </c>
      <c r="CE100" s="5">
        <v>25810000000</v>
      </c>
      <c r="CF100" s="5">
        <v>61084000000</v>
      </c>
      <c r="CG100" s="5">
        <v>14330000000</v>
      </c>
      <c r="CH100" s="5">
        <v>18292000000</v>
      </c>
      <c r="CI100" s="5">
        <v>6572200000</v>
      </c>
      <c r="CJ100" s="5">
        <v>52545000000</v>
      </c>
      <c r="CK100" s="5">
        <v>29530000000</v>
      </c>
      <c r="CL100" s="5">
        <v>26131000000</v>
      </c>
      <c r="CM100" s="5">
        <v>16340000000</v>
      </c>
      <c r="CN100" s="5">
        <v>25851000000</v>
      </c>
      <c r="CO100" s="5">
        <v>10464000000</v>
      </c>
      <c r="CP100" s="5">
        <v>2487500000</v>
      </c>
      <c r="CQ100" s="5">
        <v>1479300000</v>
      </c>
      <c r="CR100" s="5">
        <v>0</v>
      </c>
      <c r="CS100" s="5">
        <v>0</v>
      </c>
      <c r="CT100" s="5">
        <v>0</v>
      </c>
      <c r="CU100" s="5">
        <v>0</v>
      </c>
      <c r="CV100" s="5">
        <v>0</v>
      </c>
      <c r="CW100" s="5">
        <v>0</v>
      </c>
      <c r="CX100" s="5">
        <v>0</v>
      </c>
      <c r="CY100" s="5">
        <v>0</v>
      </c>
      <c r="CZ100" s="5">
        <v>0</v>
      </c>
      <c r="DA100" s="5">
        <v>0</v>
      </c>
      <c r="DB100" s="5">
        <v>0</v>
      </c>
      <c r="DC100" s="5">
        <v>0</v>
      </c>
      <c r="DD100" s="5">
        <v>0</v>
      </c>
      <c r="DE100" s="5">
        <v>0</v>
      </c>
      <c r="DF100" s="5">
        <v>0</v>
      </c>
      <c r="DG100" s="5">
        <v>0</v>
      </c>
      <c r="DH100" s="5">
        <v>0</v>
      </c>
      <c r="DI100" s="5">
        <v>0</v>
      </c>
      <c r="DJ100" s="5">
        <v>0</v>
      </c>
      <c r="DK100" s="5">
        <v>0</v>
      </c>
      <c r="DL100" s="5">
        <v>0</v>
      </c>
      <c r="DM100" s="5">
        <v>0</v>
      </c>
      <c r="DN100" s="5">
        <v>0</v>
      </c>
      <c r="DO100" s="5">
        <v>0</v>
      </c>
      <c r="DP100" s="5">
        <v>0</v>
      </c>
      <c r="DQ100" s="5">
        <v>0</v>
      </c>
      <c r="DR100" s="5">
        <v>0</v>
      </c>
      <c r="DS100" s="5">
        <v>0</v>
      </c>
      <c r="DT100" s="5">
        <v>0</v>
      </c>
      <c r="DU100" s="5">
        <v>0</v>
      </c>
      <c r="DV100" s="5">
        <v>0</v>
      </c>
      <c r="DW100" s="5">
        <v>0</v>
      </c>
      <c r="DX100" s="5">
        <v>0</v>
      </c>
      <c r="DY100" s="5">
        <v>0</v>
      </c>
      <c r="DZ100" s="5">
        <v>0</v>
      </c>
      <c r="EA100" s="5">
        <v>0</v>
      </c>
      <c r="EB100" s="5">
        <v>0</v>
      </c>
      <c r="EC100" s="5">
        <v>0</v>
      </c>
      <c r="ED100" s="5">
        <v>0</v>
      </c>
      <c r="EE100" s="5">
        <v>0</v>
      </c>
      <c r="EF100" s="5">
        <v>0</v>
      </c>
      <c r="EG100" s="5">
        <v>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0</v>
      </c>
      <c r="EO100" s="5">
        <v>0</v>
      </c>
      <c r="EP100" s="5">
        <v>0</v>
      </c>
      <c r="EQ100" s="5">
        <v>0</v>
      </c>
    </row>
    <row r="101" spans="1:147">
      <c r="A101" s="5"/>
      <c r="B101" s="5"/>
      <c r="C101" s="5"/>
      <c r="D101" s="5"/>
      <c r="E101" s="5">
        <v>141690000000000</v>
      </c>
      <c r="F101" s="5">
        <v>409090000000000</v>
      </c>
      <c r="G101" s="5">
        <v>133280000000000</v>
      </c>
      <c r="H101" s="5">
        <v>682300000000000</v>
      </c>
      <c r="I101" s="5">
        <v>159660000000000</v>
      </c>
      <c r="J101" s="5">
        <v>973690000000000</v>
      </c>
      <c r="K101" s="5">
        <v>170490000000000</v>
      </c>
      <c r="L101" s="5">
        <v>1443900000000000</v>
      </c>
      <c r="M101" s="5">
        <v>190450000000000</v>
      </c>
      <c r="N101" s="5">
        <v>2002800000000000</v>
      </c>
      <c r="O101" s="5">
        <v>210890000000000</v>
      </c>
      <c r="P101" s="5">
        <v>2302900000000000</v>
      </c>
      <c r="Q101" s="5">
        <v>196900000000000</v>
      </c>
      <c r="R101" s="5">
        <v>3974400000000000</v>
      </c>
      <c r="S101" s="5">
        <v>247610000000000</v>
      </c>
      <c r="T101" s="5">
        <v>4086500000000000</v>
      </c>
      <c r="U101" s="5">
        <v>213320000000000</v>
      </c>
      <c r="V101" s="5">
        <v>6675900000000000</v>
      </c>
      <c r="W101" s="5">
        <v>252350000000000</v>
      </c>
      <c r="X101" s="5">
        <v>7796700000000000</v>
      </c>
      <c r="Y101" s="5">
        <v>247940000000000</v>
      </c>
      <c r="Z101" s="5">
        <v>8664800000000000</v>
      </c>
      <c r="AA101" s="5">
        <v>235680000000000</v>
      </c>
      <c r="AB101" s="5">
        <v>9749100000000000</v>
      </c>
      <c r="AC101" s="5">
        <v>218380000000000</v>
      </c>
      <c r="AD101" s="5">
        <v>1.1532E+16</v>
      </c>
      <c r="AE101" s="5">
        <v>208720000000000</v>
      </c>
      <c r="AF101" s="5">
        <v>1.3264E+16</v>
      </c>
      <c r="AG101" s="5">
        <v>197640000000000</v>
      </c>
      <c r="AH101" s="5">
        <v>1.2141E+16</v>
      </c>
      <c r="AI101" s="5">
        <v>166330000000000</v>
      </c>
      <c r="AJ101" s="5">
        <v>9398300000000000</v>
      </c>
      <c r="AK101" s="5">
        <v>132520000000000</v>
      </c>
      <c r="AL101" s="5">
        <v>6545600000000000</v>
      </c>
      <c r="AM101" s="5">
        <v>102110000000000</v>
      </c>
      <c r="AN101" s="5">
        <v>4537400000000000</v>
      </c>
      <c r="AO101" s="5">
        <v>80766000000000</v>
      </c>
      <c r="AP101" s="5">
        <v>2773400000000000</v>
      </c>
      <c r="AQ101" s="5">
        <v>59073000000000</v>
      </c>
      <c r="AR101" s="5">
        <v>1670800000000000</v>
      </c>
      <c r="AS101" s="5">
        <v>40099000000000</v>
      </c>
      <c r="AT101" s="5">
        <v>890340000000000</v>
      </c>
      <c r="AU101" s="5">
        <v>24663000000000</v>
      </c>
      <c r="AV101" s="5">
        <v>353780000000000</v>
      </c>
      <c r="AW101" s="5">
        <v>13231000000000</v>
      </c>
      <c r="AX101" s="5">
        <v>155150000000000</v>
      </c>
      <c r="AY101" s="5">
        <v>7928200000000</v>
      </c>
      <c r="AZ101" s="5">
        <v>60060000000000</v>
      </c>
      <c r="BA101" s="5">
        <v>4078100000000</v>
      </c>
      <c r="BB101" s="5">
        <v>27647000000000</v>
      </c>
      <c r="BC101" s="5">
        <v>2303000000000</v>
      </c>
      <c r="BD101" s="5">
        <v>17304000000000</v>
      </c>
      <c r="BE101" s="5">
        <v>2201100000000</v>
      </c>
      <c r="BF101" s="5">
        <v>9282600000000</v>
      </c>
      <c r="BG101" s="5">
        <v>1103700000000</v>
      </c>
      <c r="BH101" s="5">
        <v>6797800000000</v>
      </c>
      <c r="BI101" s="5">
        <v>999280000000</v>
      </c>
      <c r="BJ101" s="5">
        <v>4087200000000</v>
      </c>
      <c r="BK101" s="5">
        <v>625750000000</v>
      </c>
      <c r="BL101" s="5">
        <v>3998400000000</v>
      </c>
      <c r="BM101" s="5">
        <v>888040000000</v>
      </c>
      <c r="BN101" s="5">
        <v>2069100000000</v>
      </c>
      <c r="BO101" s="5">
        <v>417970000000</v>
      </c>
      <c r="BP101" s="5">
        <v>1219100000000</v>
      </c>
      <c r="BQ101" s="5">
        <v>251990000000</v>
      </c>
      <c r="BR101" s="5">
        <v>599980000000</v>
      </c>
      <c r="BS101" s="5">
        <v>133500000000</v>
      </c>
      <c r="BT101" s="5">
        <v>415100000000</v>
      </c>
      <c r="BU101" s="5">
        <v>120300000000</v>
      </c>
      <c r="BV101" s="5">
        <v>171800000000</v>
      </c>
      <c r="BW101" s="5">
        <v>54374000000</v>
      </c>
      <c r="BX101" s="5">
        <v>131920000000</v>
      </c>
      <c r="BY101" s="5">
        <v>33720000000</v>
      </c>
      <c r="BZ101" s="5">
        <v>130890000000</v>
      </c>
      <c r="CA101" s="5">
        <v>27042000000</v>
      </c>
      <c r="CB101" s="5">
        <v>98295000000</v>
      </c>
      <c r="CC101" s="5">
        <v>51565000000</v>
      </c>
      <c r="CD101" s="5">
        <v>97378000000</v>
      </c>
      <c r="CE101" s="5">
        <v>29116000000</v>
      </c>
      <c r="CF101" s="5">
        <v>54186000000</v>
      </c>
      <c r="CG101" s="5">
        <v>14923000000</v>
      </c>
      <c r="CH101" s="5">
        <v>26220000000</v>
      </c>
      <c r="CI101" s="5">
        <v>9449500000</v>
      </c>
      <c r="CJ101" s="5">
        <v>23017000000</v>
      </c>
      <c r="CK101" s="5">
        <v>14151000000</v>
      </c>
      <c r="CL101" s="5">
        <v>1614300000</v>
      </c>
      <c r="CM101" s="5">
        <v>912260000</v>
      </c>
      <c r="CN101" s="5">
        <v>20831000000</v>
      </c>
      <c r="CO101" s="5">
        <v>18083000000</v>
      </c>
      <c r="CP101" s="5">
        <v>3019000000</v>
      </c>
      <c r="CQ101" s="5">
        <v>2870500000</v>
      </c>
      <c r="CR101" s="5">
        <v>203370000</v>
      </c>
      <c r="CS101" s="5">
        <v>148030000</v>
      </c>
      <c r="CT101" s="5">
        <v>0</v>
      </c>
      <c r="CU101" s="5">
        <v>0</v>
      </c>
      <c r="CV101" s="5">
        <v>0</v>
      </c>
      <c r="CW101" s="5">
        <v>0</v>
      </c>
      <c r="CX101" s="5">
        <v>0</v>
      </c>
      <c r="CY101" s="5">
        <v>0</v>
      </c>
      <c r="CZ101" s="5">
        <v>0</v>
      </c>
      <c r="DA101" s="5">
        <v>0</v>
      </c>
      <c r="DB101" s="5">
        <v>0</v>
      </c>
      <c r="DC101" s="5">
        <v>0</v>
      </c>
      <c r="DD101" s="5">
        <v>0</v>
      </c>
      <c r="DE101" s="5">
        <v>0</v>
      </c>
      <c r="DF101" s="5">
        <v>0</v>
      </c>
      <c r="DG101" s="5">
        <v>0</v>
      </c>
      <c r="DH101" s="5">
        <v>0</v>
      </c>
      <c r="DI101" s="5">
        <v>0</v>
      </c>
      <c r="DJ101" s="5">
        <v>0</v>
      </c>
      <c r="DK101" s="5">
        <v>0</v>
      </c>
      <c r="DL101" s="5">
        <v>0</v>
      </c>
      <c r="DM101" s="5">
        <v>0</v>
      </c>
      <c r="DN101" s="5">
        <v>0</v>
      </c>
      <c r="DO101" s="5">
        <v>0</v>
      </c>
      <c r="DP101" s="5">
        <v>0</v>
      </c>
      <c r="DQ101" s="5">
        <v>0</v>
      </c>
      <c r="DR101" s="5">
        <v>0</v>
      </c>
      <c r="DS101" s="5">
        <v>0</v>
      </c>
      <c r="DT101" s="5">
        <v>0</v>
      </c>
      <c r="DU101" s="5">
        <v>0</v>
      </c>
      <c r="DV101" s="5">
        <v>0</v>
      </c>
      <c r="DW101" s="5">
        <v>0</v>
      </c>
      <c r="DX101" s="5">
        <v>0</v>
      </c>
      <c r="DY101" s="5">
        <v>0</v>
      </c>
      <c r="DZ101" s="5">
        <v>0</v>
      </c>
      <c r="EA101" s="5">
        <v>0</v>
      </c>
      <c r="EB101" s="5">
        <v>0</v>
      </c>
      <c r="EC101" s="5">
        <v>0</v>
      </c>
      <c r="ED101" s="5">
        <v>0</v>
      </c>
      <c r="EE101" s="5">
        <v>0</v>
      </c>
      <c r="EF101" s="5">
        <v>0</v>
      </c>
      <c r="EG101" s="5">
        <v>0</v>
      </c>
      <c r="EH101" s="5">
        <v>0</v>
      </c>
      <c r="EI101" s="5">
        <v>0</v>
      </c>
      <c r="EJ101" s="5">
        <v>0</v>
      </c>
      <c r="EK101" s="5">
        <v>0</v>
      </c>
      <c r="EL101" s="5">
        <v>0</v>
      </c>
      <c r="EM101" s="5">
        <v>0</v>
      </c>
      <c r="EN101" s="5">
        <v>0</v>
      </c>
      <c r="EO101" s="5">
        <v>0</v>
      </c>
      <c r="EP101" s="5">
        <v>0</v>
      </c>
      <c r="EQ101" s="5">
        <v>0</v>
      </c>
    </row>
    <row r="102" spans="1:147">
      <c r="A102" s="5"/>
      <c r="B102" s="5"/>
      <c r="C102" s="5"/>
      <c r="D102" s="5"/>
      <c r="E102" s="5">
        <v>215710000000000</v>
      </c>
      <c r="F102" s="5">
        <v>520750000000000</v>
      </c>
      <c r="G102" s="5">
        <v>146280000000000</v>
      </c>
      <c r="H102" s="5">
        <v>807730000000000</v>
      </c>
      <c r="I102" s="5">
        <v>170350000000000</v>
      </c>
      <c r="J102" s="5">
        <v>1143000000000000</v>
      </c>
      <c r="K102" s="5">
        <v>170420000000000</v>
      </c>
      <c r="L102" s="5">
        <v>1619200000000000</v>
      </c>
      <c r="M102" s="5">
        <v>190910000000000</v>
      </c>
      <c r="N102" s="5">
        <v>1737400000000000</v>
      </c>
      <c r="O102" s="5">
        <v>197370000000000</v>
      </c>
      <c r="P102" s="5">
        <v>2682300000000000</v>
      </c>
      <c r="Q102" s="5">
        <v>206270000000000</v>
      </c>
      <c r="R102" s="5">
        <v>4026300000000000</v>
      </c>
      <c r="S102" s="5">
        <v>219030000000000</v>
      </c>
      <c r="T102" s="5">
        <v>4273200000000000</v>
      </c>
      <c r="U102" s="5">
        <v>210240000000000</v>
      </c>
      <c r="V102" s="5">
        <v>6573500000000000</v>
      </c>
      <c r="W102" s="5">
        <v>234020000000000</v>
      </c>
      <c r="X102" s="5">
        <v>7413700000000000</v>
      </c>
      <c r="Y102" s="5">
        <v>220930000000000</v>
      </c>
      <c r="Z102" s="5">
        <v>8503500000000000</v>
      </c>
      <c r="AA102" s="5">
        <v>215140000000000</v>
      </c>
      <c r="AB102" s="5">
        <v>8932400000000000</v>
      </c>
      <c r="AC102" s="5">
        <v>191150000000000</v>
      </c>
      <c r="AD102" s="5">
        <v>1.0467E+16</v>
      </c>
      <c r="AE102" s="5">
        <v>180040000000000</v>
      </c>
      <c r="AF102" s="5">
        <v>1.0207E+16</v>
      </c>
      <c r="AG102" s="5">
        <v>157190000000000</v>
      </c>
      <c r="AH102" s="5">
        <v>7759600000000000</v>
      </c>
      <c r="AI102" s="5">
        <v>120270000000000</v>
      </c>
      <c r="AJ102" s="5">
        <v>5945600000000000</v>
      </c>
      <c r="AK102" s="5">
        <v>99291000000000</v>
      </c>
      <c r="AL102" s="5">
        <v>4416800000000000</v>
      </c>
      <c r="AM102" s="5">
        <v>80387000000000</v>
      </c>
      <c r="AN102" s="5">
        <v>2895600000000000</v>
      </c>
      <c r="AO102" s="5">
        <v>58202000000000</v>
      </c>
      <c r="AP102" s="5">
        <v>1852600000000000</v>
      </c>
      <c r="AQ102" s="5">
        <v>43906000000000</v>
      </c>
      <c r="AR102" s="5">
        <v>1129200000000000</v>
      </c>
      <c r="AS102" s="5">
        <v>29925000000000</v>
      </c>
      <c r="AT102" s="5">
        <v>620600000000000</v>
      </c>
      <c r="AU102" s="5">
        <v>20976000000000</v>
      </c>
      <c r="AV102" s="5">
        <v>255830000000000</v>
      </c>
      <c r="AW102" s="5">
        <v>10515000000000</v>
      </c>
      <c r="AX102" s="5">
        <v>114200000000000</v>
      </c>
      <c r="AY102" s="5">
        <v>6669000000000</v>
      </c>
      <c r="AZ102" s="5">
        <v>48274000000000</v>
      </c>
      <c r="BA102" s="5">
        <v>3562600000000</v>
      </c>
      <c r="BB102" s="5">
        <v>22979000000000</v>
      </c>
      <c r="BC102" s="5">
        <v>2137100000000</v>
      </c>
      <c r="BD102" s="5">
        <v>13810000000000</v>
      </c>
      <c r="BE102" s="5">
        <v>1719300000000</v>
      </c>
      <c r="BF102" s="5">
        <v>9123100000000</v>
      </c>
      <c r="BG102" s="5">
        <v>1171400000000</v>
      </c>
      <c r="BH102" s="5">
        <v>5751500000000</v>
      </c>
      <c r="BI102" s="5">
        <v>886880000000</v>
      </c>
      <c r="BJ102" s="5">
        <v>4346700000000</v>
      </c>
      <c r="BK102" s="5">
        <v>717640000000</v>
      </c>
      <c r="BL102" s="5">
        <v>2891100000000</v>
      </c>
      <c r="BM102" s="5">
        <v>540920000000</v>
      </c>
      <c r="BN102" s="5">
        <v>1839000000000</v>
      </c>
      <c r="BO102" s="5">
        <v>335990000000</v>
      </c>
      <c r="BP102" s="5">
        <v>919800000000</v>
      </c>
      <c r="BQ102" s="5">
        <v>255890000000</v>
      </c>
      <c r="BR102" s="5">
        <v>690130000000</v>
      </c>
      <c r="BS102" s="5">
        <v>218430000000</v>
      </c>
      <c r="BT102" s="5">
        <v>299570000000</v>
      </c>
      <c r="BU102" s="5">
        <v>127260000000</v>
      </c>
      <c r="BV102" s="5">
        <v>139010000000</v>
      </c>
      <c r="BW102" s="5">
        <v>44524000000</v>
      </c>
      <c r="BX102" s="5">
        <v>159670000000</v>
      </c>
      <c r="BY102" s="5">
        <v>74951000000</v>
      </c>
      <c r="BZ102" s="5">
        <v>78815000000</v>
      </c>
      <c r="CA102" s="5">
        <v>27806000000</v>
      </c>
      <c r="CB102" s="5">
        <v>39195000000</v>
      </c>
      <c r="CC102" s="5">
        <v>13067000000</v>
      </c>
      <c r="CD102" s="5">
        <v>58201000000</v>
      </c>
      <c r="CE102" s="5">
        <v>24322000000</v>
      </c>
      <c r="CF102" s="5">
        <v>15126000000</v>
      </c>
      <c r="CG102" s="5">
        <v>5705600000</v>
      </c>
      <c r="CH102" s="5">
        <v>5118800000</v>
      </c>
      <c r="CI102" s="5">
        <v>3531500000</v>
      </c>
      <c r="CJ102" s="5">
        <v>1800500000</v>
      </c>
      <c r="CK102" s="5">
        <v>1476800000</v>
      </c>
      <c r="CL102" s="5">
        <v>1351400000</v>
      </c>
      <c r="CM102" s="5">
        <v>883030000</v>
      </c>
      <c r="CN102" s="5">
        <v>415730000</v>
      </c>
      <c r="CO102" s="5">
        <v>325890000</v>
      </c>
      <c r="CP102" s="5">
        <v>88946000</v>
      </c>
      <c r="CQ102" s="5">
        <v>88946000</v>
      </c>
      <c r="CR102" s="5">
        <v>0</v>
      </c>
      <c r="CS102" s="5">
        <v>0</v>
      </c>
      <c r="CT102" s="5">
        <v>0</v>
      </c>
      <c r="CU102" s="5">
        <v>0</v>
      </c>
      <c r="CV102" s="5">
        <v>0</v>
      </c>
      <c r="CW102" s="5">
        <v>0</v>
      </c>
      <c r="CX102" s="5">
        <v>0</v>
      </c>
      <c r="CY102" s="5">
        <v>0</v>
      </c>
      <c r="CZ102" s="5">
        <v>0</v>
      </c>
      <c r="DA102" s="5">
        <v>0</v>
      </c>
      <c r="DB102" s="5">
        <v>0</v>
      </c>
      <c r="DC102" s="5">
        <v>0</v>
      </c>
      <c r="DD102" s="5">
        <v>0</v>
      </c>
      <c r="DE102" s="5">
        <v>0</v>
      </c>
      <c r="DF102" s="5">
        <v>0</v>
      </c>
      <c r="DG102" s="5">
        <v>0</v>
      </c>
      <c r="DH102" s="5">
        <v>0</v>
      </c>
      <c r="DI102" s="5">
        <v>0</v>
      </c>
      <c r="DJ102" s="5">
        <v>0</v>
      </c>
      <c r="DK102" s="5">
        <v>0</v>
      </c>
      <c r="DL102" s="5">
        <v>0</v>
      </c>
      <c r="DM102" s="5">
        <v>0</v>
      </c>
      <c r="DN102" s="5">
        <v>0</v>
      </c>
      <c r="DO102" s="5">
        <v>0</v>
      </c>
      <c r="DP102" s="5">
        <v>0</v>
      </c>
      <c r="DQ102" s="5">
        <v>0</v>
      </c>
      <c r="DR102" s="5">
        <v>0</v>
      </c>
      <c r="DS102" s="5">
        <v>0</v>
      </c>
      <c r="DT102" s="5">
        <v>0</v>
      </c>
      <c r="DU102" s="5">
        <v>0</v>
      </c>
      <c r="DV102" s="5">
        <v>0</v>
      </c>
      <c r="DW102" s="5">
        <v>0</v>
      </c>
      <c r="DX102" s="5">
        <v>0</v>
      </c>
      <c r="DY102" s="5">
        <v>0</v>
      </c>
      <c r="DZ102" s="5">
        <v>0</v>
      </c>
      <c r="EA102" s="5">
        <v>0</v>
      </c>
      <c r="EB102" s="5">
        <v>0</v>
      </c>
      <c r="EC102" s="5">
        <v>0</v>
      </c>
      <c r="ED102" s="5">
        <v>0</v>
      </c>
      <c r="EE102" s="5">
        <v>0</v>
      </c>
      <c r="EF102" s="5">
        <v>0</v>
      </c>
      <c r="EG102" s="5">
        <v>0</v>
      </c>
      <c r="EH102" s="5">
        <v>0</v>
      </c>
      <c r="EI102" s="5">
        <v>0</v>
      </c>
      <c r="EJ102" s="5">
        <v>0</v>
      </c>
      <c r="EK102" s="5">
        <v>0</v>
      </c>
      <c r="EL102" s="5">
        <v>0</v>
      </c>
      <c r="EM102" s="5">
        <v>0</v>
      </c>
      <c r="EN102" s="5">
        <v>0</v>
      </c>
      <c r="EO102" s="5">
        <v>0</v>
      </c>
      <c r="EP102" s="5">
        <v>0</v>
      </c>
      <c r="EQ102" s="5">
        <v>0</v>
      </c>
    </row>
    <row r="103" spans="1:147">
      <c r="A103" s="5"/>
      <c r="B103" s="5"/>
      <c r="C103" s="5"/>
      <c r="D103" s="5"/>
      <c r="E103" s="5">
        <v>102800000000000</v>
      </c>
      <c r="F103" s="5">
        <v>278840000000000</v>
      </c>
      <c r="G103" s="5">
        <v>83401000000000</v>
      </c>
      <c r="H103" s="5">
        <v>958060000000000</v>
      </c>
      <c r="I103" s="5">
        <v>214990000000000</v>
      </c>
      <c r="J103" s="5">
        <v>1444400000000000</v>
      </c>
      <c r="K103" s="5">
        <v>296830000000000</v>
      </c>
      <c r="L103" s="5">
        <v>1498800000000000</v>
      </c>
      <c r="M103" s="5">
        <v>168310000000000</v>
      </c>
      <c r="N103" s="5">
        <v>1763600000000000</v>
      </c>
      <c r="O103" s="5">
        <v>177590000000000</v>
      </c>
      <c r="P103" s="5">
        <v>2719100000000000</v>
      </c>
      <c r="Q103" s="5">
        <v>193600000000000</v>
      </c>
      <c r="R103" s="5">
        <v>4100300000000000</v>
      </c>
      <c r="S103" s="5">
        <v>226750000000000</v>
      </c>
      <c r="T103" s="5">
        <v>4242500000000000</v>
      </c>
      <c r="U103" s="5">
        <v>185820000000000</v>
      </c>
      <c r="V103" s="5">
        <v>6679600000000000</v>
      </c>
      <c r="W103" s="5">
        <v>219760000000000</v>
      </c>
      <c r="X103" s="5">
        <v>7032300000000000</v>
      </c>
      <c r="Y103" s="5">
        <v>188470000000000</v>
      </c>
      <c r="Z103" s="5">
        <v>7546600000000000</v>
      </c>
      <c r="AA103" s="5">
        <v>178850000000000</v>
      </c>
      <c r="AB103" s="5">
        <v>8263200000000000</v>
      </c>
      <c r="AC103" s="5">
        <v>164440000000000</v>
      </c>
      <c r="AD103" s="5">
        <v>8159300000000000</v>
      </c>
      <c r="AE103" s="5">
        <v>146050000000000</v>
      </c>
      <c r="AF103" s="5">
        <v>6243100000000000</v>
      </c>
      <c r="AG103" s="5">
        <v>114870000000000</v>
      </c>
      <c r="AH103" s="5">
        <v>4810500000000000</v>
      </c>
      <c r="AI103" s="5">
        <v>85627000000000</v>
      </c>
      <c r="AJ103" s="5">
        <v>3801900000000000</v>
      </c>
      <c r="AK103" s="5">
        <v>71096000000000</v>
      </c>
      <c r="AL103" s="5">
        <v>2953200000000000</v>
      </c>
      <c r="AM103" s="5">
        <v>61132000000000</v>
      </c>
      <c r="AN103" s="5">
        <v>2043600000000000</v>
      </c>
      <c r="AO103" s="5">
        <v>47413000000000</v>
      </c>
      <c r="AP103" s="5">
        <v>1215400000000000</v>
      </c>
      <c r="AQ103" s="5">
        <v>31844000000000</v>
      </c>
      <c r="AR103" s="5">
        <v>825650000000000</v>
      </c>
      <c r="AS103" s="5">
        <v>25182000000000</v>
      </c>
      <c r="AT103" s="5">
        <v>421840000000000</v>
      </c>
      <c r="AU103" s="5">
        <v>14807000000000</v>
      </c>
      <c r="AV103" s="5">
        <v>191490000000000</v>
      </c>
      <c r="AW103" s="5">
        <v>9133900000000</v>
      </c>
      <c r="AX103" s="5">
        <v>76581000000000</v>
      </c>
      <c r="AY103" s="5">
        <v>4908900000000</v>
      </c>
      <c r="AZ103" s="5">
        <v>33948000000000</v>
      </c>
      <c r="BA103" s="5">
        <v>2953500000000</v>
      </c>
      <c r="BB103" s="5">
        <v>18310000000000</v>
      </c>
      <c r="BC103" s="5">
        <v>1964700000000</v>
      </c>
      <c r="BD103" s="5">
        <v>9410100000000</v>
      </c>
      <c r="BE103" s="5">
        <v>1371100000000</v>
      </c>
      <c r="BF103" s="5">
        <v>5966400000000</v>
      </c>
      <c r="BG103" s="5">
        <v>920620000000</v>
      </c>
      <c r="BH103" s="5">
        <v>4144000000000</v>
      </c>
      <c r="BI103" s="5">
        <v>600460000000</v>
      </c>
      <c r="BJ103" s="5">
        <v>3359100000000</v>
      </c>
      <c r="BK103" s="5">
        <v>525020000000</v>
      </c>
      <c r="BL103" s="5">
        <v>1553400000000</v>
      </c>
      <c r="BM103" s="5">
        <v>292670000000</v>
      </c>
      <c r="BN103" s="5">
        <v>820800000000</v>
      </c>
      <c r="BO103" s="5">
        <v>257240000000</v>
      </c>
      <c r="BP103" s="5">
        <v>510200000000</v>
      </c>
      <c r="BQ103" s="5">
        <v>148830000000</v>
      </c>
      <c r="BR103" s="5">
        <v>263950000000</v>
      </c>
      <c r="BS103" s="5">
        <v>101090000000</v>
      </c>
      <c r="BT103" s="5">
        <v>68881000000</v>
      </c>
      <c r="BU103" s="5">
        <v>35357000000</v>
      </c>
      <c r="BV103" s="5">
        <v>182880000000</v>
      </c>
      <c r="BW103" s="5">
        <v>99668000000</v>
      </c>
      <c r="BX103" s="5">
        <v>30067000000</v>
      </c>
      <c r="BY103" s="5">
        <v>11636000000</v>
      </c>
      <c r="BZ103" s="5">
        <v>54493000000</v>
      </c>
      <c r="CA103" s="5">
        <v>20467000000</v>
      </c>
      <c r="CB103" s="5">
        <v>40727000000</v>
      </c>
      <c r="CC103" s="5">
        <v>17020000000</v>
      </c>
      <c r="CD103" s="5">
        <v>23745000000</v>
      </c>
      <c r="CE103" s="5">
        <v>14318000000</v>
      </c>
      <c r="CF103" s="5">
        <v>10182000000</v>
      </c>
      <c r="CG103" s="5">
        <v>6825000000</v>
      </c>
      <c r="CH103" s="5">
        <v>2694300000</v>
      </c>
      <c r="CI103" s="5">
        <v>2141900000</v>
      </c>
      <c r="CJ103" s="5">
        <v>5247400000</v>
      </c>
      <c r="CK103" s="5">
        <v>3942300000</v>
      </c>
      <c r="CL103" s="5">
        <v>0</v>
      </c>
      <c r="CM103" s="5">
        <v>0</v>
      </c>
      <c r="CN103" s="5">
        <v>0</v>
      </c>
      <c r="CO103" s="5">
        <v>0</v>
      </c>
      <c r="CP103" s="5">
        <v>0</v>
      </c>
      <c r="CQ103" s="5">
        <v>0</v>
      </c>
      <c r="CR103" s="5">
        <v>0</v>
      </c>
      <c r="CS103" s="5">
        <v>0</v>
      </c>
      <c r="CT103" s="5">
        <v>0</v>
      </c>
      <c r="CU103" s="5">
        <v>0</v>
      </c>
      <c r="CV103" s="5">
        <v>0</v>
      </c>
      <c r="CW103" s="5">
        <v>0</v>
      </c>
      <c r="CX103" s="5">
        <v>0</v>
      </c>
      <c r="CY103" s="5">
        <v>0</v>
      </c>
      <c r="CZ103" s="5">
        <v>0</v>
      </c>
      <c r="DA103" s="5">
        <v>0</v>
      </c>
      <c r="DB103" s="5">
        <v>0</v>
      </c>
      <c r="DC103" s="5">
        <v>0</v>
      </c>
      <c r="DD103" s="5">
        <v>0</v>
      </c>
      <c r="DE103" s="5">
        <v>0</v>
      </c>
      <c r="DF103" s="5">
        <v>0</v>
      </c>
      <c r="DG103" s="5">
        <v>0</v>
      </c>
      <c r="DH103" s="5">
        <v>0</v>
      </c>
      <c r="DI103" s="5">
        <v>0</v>
      </c>
      <c r="DJ103" s="5">
        <v>0</v>
      </c>
      <c r="DK103" s="5">
        <v>0</v>
      </c>
      <c r="DL103" s="5">
        <v>0</v>
      </c>
      <c r="DM103" s="5">
        <v>0</v>
      </c>
      <c r="DN103" s="5">
        <v>0</v>
      </c>
      <c r="DO103" s="5">
        <v>0</v>
      </c>
      <c r="DP103" s="5">
        <v>0</v>
      </c>
      <c r="DQ103" s="5">
        <v>0</v>
      </c>
      <c r="DR103" s="5">
        <v>0</v>
      </c>
      <c r="DS103" s="5">
        <v>0</v>
      </c>
      <c r="DT103" s="5">
        <v>0</v>
      </c>
      <c r="DU103" s="5">
        <v>0</v>
      </c>
      <c r="DV103" s="5">
        <v>0</v>
      </c>
      <c r="DW103" s="5">
        <v>0</v>
      </c>
      <c r="DX103" s="5">
        <v>0</v>
      </c>
      <c r="DY103" s="5">
        <v>0</v>
      </c>
      <c r="DZ103" s="5">
        <v>0</v>
      </c>
      <c r="EA103" s="5">
        <v>0</v>
      </c>
      <c r="EB103" s="5">
        <v>0</v>
      </c>
      <c r="EC103" s="5">
        <v>0</v>
      </c>
      <c r="ED103" s="5">
        <v>0</v>
      </c>
      <c r="EE103" s="5">
        <v>0</v>
      </c>
      <c r="EF103" s="5">
        <v>0</v>
      </c>
      <c r="EG103" s="5">
        <v>0</v>
      </c>
      <c r="EH103" s="5">
        <v>0</v>
      </c>
      <c r="EI103" s="5">
        <v>0</v>
      </c>
      <c r="EJ103" s="5">
        <v>0</v>
      </c>
      <c r="EK103" s="5">
        <v>0</v>
      </c>
      <c r="EL103" s="5">
        <v>0</v>
      </c>
      <c r="EM103" s="5">
        <v>0</v>
      </c>
      <c r="EN103" s="5">
        <v>0</v>
      </c>
      <c r="EO103" s="5">
        <v>0</v>
      </c>
      <c r="EP103" s="5">
        <v>0</v>
      </c>
      <c r="EQ103" s="5">
        <v>0</v>
      </c>
    </row>
    <row r="104" spans="1:147">
      <c r="A104" s="5"/>
      <c r="B104" s="5"/>
      <c r="C104" s="5"/>
      <c r="D104" s="5"/>
      <c r="E104" s="5">
        <v>152840000000000</v>
      </c>
      <c r="F104" s="5">
        <v>660130000000000</v>
      </c>
      <c r="G104" s="5">
        <v>139480000000000</v>
      </c>
      <c r="H104" s="5">
        <v>870430000000000</v>
      </c>
      <c r="I104" s="5">
        <v>178350000000000</v>
      </c>
      <c r="J104" s="5">
        <v>1143500000000000</v>
      </c>
      <c r="K104" s="5">
        <v>168790000000000</v>
      </c>
      <c r="L104" s="5">
        <v>1651500000000000</v>
      </c>
      <c r="M104" s="5">
        <v>184800000000000</v>
      </c>
      <c r="N104" s="5">
        <v>2160300000000000</v>
      </c>
      <c r="O104" s="5">
        <v>181680000000000</v>
      </c>
      <c r="P104" s="5">
        <v>2405900000000000</v>
      </c>
      <c r="Q104" s="5">
        <v>164080000000000</v>
      </c>
      <c r="R104" s="5">
        <v>3987000000000000</v>
      </c>
      <c r="S104" s="5">
        <v>184200000000000</v>
      </c>
      <c r="T104" s="5">
        <v>4297900000000000</v>
      </c>
      <c r="U104" s="5">
        <v>171920000000000</v>
      </c>
      <c r="V104" s="5">
        <v>5870100000000000</v>
      </c>
      <c r="W104" s="5">
        <v>181970000000000</v>
      </c>
      <c r="X104" s="5">
        <v>6623000000000000</v>
      </c>
      <c r="Y104" s="5">
        <v>192730000000000</v>
      </c>
      <c r="Z104" s="5">
        <v>6831100000000000</v>
      </c>
      <c r="AA104" s="5">
        <v>159850000000000</v>
      </c>
      <c r="AB104" s="5">
        <v>6364700000000000</v>
      </c>
      <c r="AC104" s="5">
        <v>133660000000000</v>
      </c>
      <c r="AD104" s="5">
        <v>4883000000000000</v>
      </c>
      <c r="AE104" s="5">
        <v>100100000000000</v>
      </c>
      <c r="AF104" s="5">
        <v>4008700000000000</v>
      </c>
      <c r="AG104" s="5">
        <v>82177000000000</v>
      </c>
      <c r="AH104" s="5">
        <v>3220900000000000</v>
      </c>
      <c r="AI104" s="5">
        <v>64739000000000</v>
      </c>
      <c r="AJ104" s="5">
        <v>2723400000000000</v>
      </c>
      <c r="AK104" s="5">
        <v>57736000000000</v>
      </c>
      <c r="AL104" s="5">
        <v>2052200000000000</v>
      </c>
      <c r="AM104" s="5">
        <v>46584000000000</v>
      </c>
      <c r="AN104" s="5">
        <v>1414100000000000</v>
      </c>
      <c r="AO104" s="5">
        <v>36484000000000</v>
      </c>
      <c r="AP104" s="5">
        <v>848470000000000</v>
      </c>
      <c r="AQ104" s="5">
        <v>24097000000000</v>
      </c>
      <c r="AR104" s="5">
        <v>544150000000000</v>
      </c>
      <c r="AS104" s="5">
        <v>18991000000000</v>
      </c>
      <c r="AT104" s="5">
        <v>294690000000000</v>
      </c>
      <c r="AU104" s="5">
        <v>13114000000000</v>
      </c>
      <c r="AV104" s="5">
        <v>143250000000000</v>
      </c>
      <c r="AW104" s="5">
        <v>7678300000000</v>
      </c>
      <c r="AX104" s="5">
        <v>60554000000000</v>
      </c>
      <c r="AY104" s="5">
        <v>4160000000000</v>
      </c>
      <c r="AZ104" s="5">
        <v>30555000000000</v>
      </c>
      <c r="BA104" s="5">
        <v>2893600000000</v>
      </c>
      <c r="BB104" s="5">
        <v>14281000000000</v>
      </c>
      <c r="BC104" s="5">
        <v>1522300000000</v>
      </c>
      <c r="BD104" s="5">
        <v>8187000000000</v>
      </c>
      <c r="BE104" s="5">
        <v>1166600000000</v>
      </c>
      <c r="BF104" s="5">
        <v>4681600000000</v>
      </c>
      <c r="BG104" s="5">
        <v>705990000000</v>
      </c>
      <c r="BH104" s="5">
        <v>4164300000000</v>
      </c>
      <c r="BI104" s="5">
        <v>745410000000</v>
      </c>
      <c r="BJ104" s="5">
        <v>1892200000000</v>
      </c>
      <c r="BK104" s="5">
        <v>352130000000</v>
      </c>
      <c r="BL104" s="5">
        <v>1248500000000</v>
      </c>
      <c r="BM104" s="5">
        <v>292910000000</v>
      </c>
      <c r="BN104" s="5">
        <v>420670000000</v>
      </c>
      <c r="BO104" s="5">
        <v>130030000000</v>
      </c>
      <c r="BP104" s="5">
        <v>205170000000</v>
      </c>
      <c r="BQ104" s="5">
        <v>68631000000</v>
      </c>
      <c r="BR104" s="5">
        <v>196830000000</v>
      </c>
      <c r="BS104" s="5">
        <v>94224000000</v>
      </c>
      <c r="BT104" s="5">
        <v>43011000000</v>
      </c>
      <c r="BU104" s="5">
        <v>13020000000</v>
      </c>
      <c r="BV104" s="5">
        <v>21373000000</v>
      </c>
      <c r="BW104" s="5">
        <v>12204000000</v>
      </c>
      <c r="BX104" s="5">
        <v>80987000000</v>
      </c>
      <c r="BY104" s="5">
        <v>53751000000</v>
      </c>
      <c r="BZ104" s="5">
        <v>29137000000</v>
      </c>
      <c r="CA104" s="5">
        <v>12319000000</v>
      </c>
      <c r="CB104" s="5">
        <v>25508000000</v>
      </c>
      <c r="CC104" s="5">
        <v>11474000000</v>
      </c>
      <c r="CD104" s="5">
        <v>18515000000</v>
      </c>
      <c r="CE104" s="5">
        <v>11468000000</v>
      </c>
      <c r="CF104" s="5">
        <v>14190000000</v>
      </c>
      <c r="CG104" s="5">
        <v>9967100000</v>
      </c>
      <c r="CH104" s="5">
        <v>1283800000</v>
      </c>
      <c r="CI104" s="5">
        <v>714560000</v>
      </c>
      <c r="CJ104" s="5">
        <v>0</v>
      </c>
      <c r="CK104" s="5">
        <v>0</v>
      </c>
      <c r="CL104" s="5">
        <v>0</v>
      </c>
      <c r="CM104" s="5">
        <v>0</v>
      </c>
      <c r="CN104" s="5">
        <v>0</v>
      </c>
      <c r="CO104" s="5">
        <v>0</v>
      </c>
      <c r="CP104" s="5">
        <v>0</v>
      </c>
      <c r="CQ104" s="5">
        <v>0</v>
      </c>
      <c r="CR104" s="5">
        <v>0</v>
      </c>
      <c r="CS104" s="5">
        <v>0</v>
      </c>
      <c r="CT104" s="5">
        <v>0</v>
      </c>
      <c r="CU104" s="5">
        <v>0</v>
      </c>
      <c r="CV104" s="5">
        <v>0</v>
      </c>
      <c r="CW104" s="5">
        <v>0</v>
      </c>
      <c r="CX104" s="5">
        <v>0</v>
      </c>
      <c r="CY104" s="5">
        <v>0</v>
      </c>
      <c r="CZ104" s="5">
        <v>0</v>
      </c>
      <c r="DA104" s="5">
        <v>0</v>
      </c>
      <c r="DB104" s="5">
        <v>0</v>
      </c>
      <c r="DC104" s="5">
        <v>0</v>
      </c>
      <c r="DD104" s="5">
        <v>0</v>
      </c>
      <c r="DE104" s="5">
        <v>0</v>
      </c>
      <c r="DF104" s="5">
        <v>0</v>
      </c>
      <c r="DG104" s="5">
        <v>0</v>
      </c>
      <c r="DH104" s="5">
        <v>0</v>
      </c>
      <c r="DI104" s="5">
        <v>0</v>
      </c>
      <c r="DJ104" s="5">
        <v>0</v>
      </c>
      <c r="DK104" s="5">
        <v>0</v>
      </c>
      <c r="DL104" s="5">
        <v>0</v>
      </c>
      <c r="DM104" s="5">
        <v>0</v>
      </c>
      <c r="DN104" s="5">
        <v>0</v>
      </c>
      <c r="DO104" s="5">
        <v>0</v>
      </c>
      <c r="DP104" s="5">
        <v>0</v>
      </c>
      <c r="DQ104" s="5">
        <v>0</v>
      </c>
      <c r="DR104" s="5">
        <v>0</v>
      </c>
      <c r="DS104" s="5">
        <v>0</v>
      </c>
      <c r="DT104" s="5">
        <v>0</v>
      </c>
      <c r="DU104" s="5">
        <v>0</v>
      </c>
      <c r="DV104" s="5">
        <v>0</v>
      </c>
      <c r="DW104" s="5">
        <v>0</v>
      </c>
      <c r="DX104" s="5">
        <v>0</v>
      </c>
      <c r="DY104" s="5">
        <v>0</v>
      </c>
      <c r="DZ104" s="5">
        <v>0</v>
      </c>
      <c r="EA104" s="5">
        <v>0</v>
      </c>
      <c r="EB104" s="5">
        <v>0</v>
      </c>
      <c r="EC104" s="5">
        <v>0</v>
      </c>
      <c r="ED104" s="5">
        <v>0</v>
      </c>
      <c r="EE104" s="5">
        <v>0</v>
      </c>
      <c r="EF104" s="5">
        <v>0</v>
      </c>
      <c r="EG104" s="5">
        <v>0</v>
      </c>
      <c r="EH104" s="5">
        <v>0</v>
      </c>
      <c r="EI104" s="5">
        <v>0</v>
      </c>
      <c r="EJ104" s="5">
        <v>0</v>
      </c>
      <c r="EK104" s="5">
        <v>0</v>
      </c>
      <c r="EL104" s="5">
        <v>0</v>
      </c>
      <c r="EM104" s="5">
        <v>0</v>
      </c>
      <c r="EN104" s="5">
        <v>0</v>
      </c>
      <c r="EO104" s="5">
        <v>0</v>
      </c>
      <c r="EP104" s="5">
        <v>0</v>
      </c>
      <c r="EQ104" s="5">
        <v>0</v>
      </c>
    </row>
    <row r="105" spans="1:147">
      <c r="A105" s="5"/>
      <c r="B105" s="5"/>
      <c r="C105" s="5"/>
      <c r="D105" s="5"/>
      <c r="E105" s="5">
        <v>109020000000000</v>
      </c>
      <c r="F105" s="5">
        <v>676930000000000</v>
      </c>
      <c r="G105" s="5">
        <v>176610000000000</v>
      </c>
      <c r="H105" s="5">
        <v>895830000000000</v>
      </c>
      <c r="I105" s="5">
        <v>134200000000000</v>
      </c>
      <c r="J105" s="5">
        <v>1671200000000000</v>
      </c>
      <c r="K105" s="5">
        <v>181320000000000</v>
      </c>
      <c r="L105" s="5">
        <v>1775600000000000</v>
      </c>
      <c r="M105" s="5">
        <v>164950000000000</v>
      </c>
      <c r="N105" s="5">
        <v>1732500000000000</v>
      </c>
      <c r="O105" s="5">
        <v>139640000000000</v>
      </c>
      <c r="P105" s="5">
        <v>2419400000000000</v>
      </c>
      <c r="Q105" s="5">
        <v>152660000000000</v>
      </c>
      <c r="R105" s="5">
        <v>3880700000000000</v>
      </c>
      <c r="S105" s="5">
        <v>168420000000000</v>
      </c>
      <c r="T105" s="5">
        <v>3829900000000000</v>
      </c>
      <c r="U105" s="5">
        <v>157410000000000</v>
      </c>
      <c r="V105" s="5">
        <v>5826500000000000</v>
      </c>
      <c r="W105" s="5">
        <v>172460000000000</v>
      </c>
      <c r="X105" s="5">
        <v>5738300000000000</v>
      </c>
      <c r="Y105" s="5">
        <v>147480000000000</v>
      </c>
      <c r="Z105" s="5">
        <v>4904800000000000</v>
      </c>
      <c r="AA105" s="5">
        <v>122620000000000</v>
      </c>
      <c r="AB105" s="5">
        <v>3676700000000000</v>
      </c>
      <c r="AC105" s="5">
        <v>94491000000000</v>
      </c>
      <c r="AD105" s="5">
        <v>2876300000000000</v>
      </c>
      <c r="AE105" s="5">
        <v>69606000000000</v>
      </c>
      <c r="AF105" s="5">
        <v>2667400000000000</v>
      </c>
      <c r="AG105" s="5">
        <v>61084000000000</v>
      </c>
      <c r="AH105" s="5">
        <v>2383700000000000</v>
      </c>
      <c r="AI105" s="5">
        <v>52204000000000</v>
      </c>
      <c r="AJ105" s="5">
        <v>1965200000000000</v>
      </c>
      <c r="AK105" s="5">
        <v>45594000000000</v>
      </c>
      <c r="AL105" s="5">
        <v>1445700000000000</v>
      </c>
      <c r="AM105" s="5">
        <v>35129000000000</v>
      </c>
      <c r="AN105" s="5">
        <v>969470000000000</v>
      </c>
      <c r="AO105" s="5">
        <v>28018000000000</v>
      </c>
      <c r="AP105" s="5">
        <v>579870000000000</v>
      </c>
      <c r="AQ105" s="5">
        <v>18672000000000</v>
      </c>
      <c r="AR105" s="5">
        <v>361090000000000</v>
      </c>
      <c r="AS105" s="5">
        <v>14407000000000</v>
      </c>
      <c r="AT105" s="5">
        <v>208820000000000</v>
      </c>
      <c r="AU105" s="5">
        <v>10274000000000</v>
      </c>
      <c r="AV105" s="5">
        <v>107370000000000</v>
      </c>
      <c r="AW105" s="5">
        <v>6066200000000</v>
      </c>
      <c r="AX105" s="5">
        <v>43385000000000</v>
      </c>
      <c r="AY105" s="5">
        <v>3067300000000</v>
      </c>
      <c r="AZ105" s="5">
        <v>22794000000000</v>
      </c>
      <c r="BA105" s="5">
        <v>2149500000000</v>
      </c>
      <c r="BB105" s="5">
        <v>11959000000000</v>
      </c>
      <c r="BC105" s="5">
        <v>1426700000000</v>
      </c>
      <c r="BD105" s="5">
        <v>5891200000000</v>
      </c>
      <c r="BE105" s="5">
        <v>824770000000</v>
      </c>
      <c r="BF105" s="5">
        <v>5107700000000</v>
      </c>
      <c r="BG105" s="5">
        <v>897930000000</v>
      </c>
      <c r="BH105" s="5">
        <v>3615100000000</v>
      </c>
      <c r="BI105" s="5">
        <v>567580000000</v>
      </c>
      <c r="BJ105" s="5">
        <v>2501300000000</v>
      </c>
      <c r="BK105" s="5">
        <v>499010000000</v>
      </c>
      <c r="BL105" s="5">
        <v>1258700000000</v>
      </c>
      <c r="BM105" s="5">
        <v>319960000000</v>
      </c>
      <c r="BN105" s="5">
        <v>343680000000</v>
      </c>
      <c r="BO105" s="5">
        <v>124140000000</v>
      </c>
      <c r="BP105" s="5">
        <v>276920000000</v>
      </c>
      <c r="BQ105" s="5">
        <v>115450000000</v>
      </c>
      <c r="BR105" s="5">
        <v>84414000000</v>
      </c>
      <c r="BS105" s="5">
        <v>33352000000</v>
      </c>
      <c r="BT105" s="5">
        <v>26188000000</v>
      </c>
      <c r="BU105" s="5">
        <v>20110000000</v>
      </c>
      <c r="BV105" s="5">
        <v>20101000000</v>
      </c>
      <c r="BW105" s="5">
        <v>8623200000</v>
      </c>
      <c r="BX105" s="5">
        <v>53382000000</v>
      </c>
      <c r="BY105" s="5">
        <v>44046000000</v>
      </c>
      <c r="BZ105" s="5">
        <v>122330000000</v>
      </c>
      <c r="CA105" s="5">
        <v>109690000000</v>
      </c>
      <c r="CB105" s="5">
        <v>8836400000</v>
      </c>
      <c r="CC105" s="5">
        <v>6371900000</v>
      </c>
      <c r="CD105" s="5">
        <v>243850000</v>
      </c>
      <c r="CE105" s="5">
        <v>243850000</v>
      </c>
      <c r="CF105" s="5">
        <v>1059900000</v>
      </c>
      <c r="CG105" s="5">
        <v>1059900000</v>
      </c>
      <c r="CH105" s="5">
        <v>153170000</v>
      </c>
      <c r="CI105" s="5">
        <v>153170000</v>
      </c>
      <c r="CJ105" s="5">
        <v>0</v>
      </c>
      <c r="CK105" s="5">
        <v>0</v>
      </c>
      <c r="CL105" s="5">
        <v>204110000</v>
      </c>
      <c r="CM105" s="5">
        <v>204110000</v>
      </c>
      <c r="CN105" s="5">
        <v>0</v>
      </c>
      <c r="CO105" s="5">
        <v>0</v>
      </c>
      <c r="CP105" s="5">
        <v>0</v>
      </c>
      <c r="CQ105" s="5">
        <v>0</v>
      </c>
      <c r="CR105" s="5">
        <v>0</v>
      </c>
      <c r="CS105" s="5">
        <v>0</v>
      </c>
      <c r="CT105" s="5">
        <v>0</v>
      </c>
      <c r="CU105" s="5">
        <v>0</v>
      </c>
      <c r="CV105" s="5">
        <v>0</v>
      </c>
      <c r="CW105" s="5">
        <v>0</v>
      </c>
      <c r="CX105" s="5">
        <v>0</v>
      </c>
      <c r="CY105" s="5">
        <v>0</v>
      </c>
      <c r="CZ105" s="5">
        <v>0</v>
      </c>
      <c r="DA105" s="5">
        <v>0</v>
      </c>
      <c r="DB105" s="5">
        <v>0</v>
      </c>
      <c r="DC105" s="5">
        <v>0</v>
      </c>
      <c r="DD105" s="5">
        <v>0</v>
      </c>
      <c r="DE105" s="5">
        <v>0</v>
      </c>
      <c r="DF105" s="5">
        <v>0</v>
      </c>
      <c r="DG105" s="5">
        <v>0</v>
      </c>
      <c r="DH105" s="5">
        <v>0</v>
      </c>
      <c r="DI105" s="5">
        <v>0</v>
      </c>
      <c r="DJ105" s="5">
        <v>0</v>
      </c>
      <c r="DK105" s="5">
        <v>0</v>
      </c>
      <c r="DL105" s="5">
        <v>0</v>
      </c>
      <c r="DM105" s="5">
        <v>0</v>
      </c>
      <c r="DN105" s="5">
        <v>0</v>
      </c>
      <c r="DO105" s="5">
        <v>0</v>
      </c>
      <c r="DP105" s="5">
        <v>0</v>
      </c>
      <c r="DQ105" s="5">
        <v>0</v>
      </c>
      <c r="DR105" s="5">
        <v>0</v>
      </c>
      <c r="DS105" s="5">
        <v>0</v>
      </c>
      <c r="DT105" s="5">
        <v>0</v>
      </c>
      <c r="DU105" s="5">
        <v>0</v>
      </c>
      <c r="DV105" s="5">
        <v>0</v>
      </c>
      <c r="DW105" s="5">
        <v>0</v>
      </c>
      <c r="DX105" s="5">
        <v>0</v>
      </c>
      <c r="DY105" s="5">
        <v>0</v>
      </c>
      <c r="DZ105" s="5">
        <v>0</v>
      </c>
      <c r="EA105" s="5">
        <v>0</v>
      </c>
      <c r="EB105" s="5">
        <v>0</v>
      </c>
      <c r="EC105" s="5">
        <v>0</v>
      </c>
      <c r="ED105" s="5">
        <v>0</v>
      </c>
      <c r="EE105" s="5">
        <v>0</v>
      </c>
      <c r="EF105" s="5">
        <v>0</v>
      </c>
      <c r="EG105" s="5">
        <v>0</v>
      </c>
      <c r="EH105" s="5">
        <v>0</v>
      </c>
      <c r="EI105" s="5">
        <v>0</v>
      </c>
      <c r="EJ105" s="5">
        <v>0</v>
      </c>
      <c r="EK105" s="5">
        <v>0</v>
      </c>
      <c r="EL105" s="5">
        <v>0</v>
      </c>
      <c r="EM105" s="5">
        <v>0</v>
      </c>
      <c r="EN105" s="5">
        <v>0</v>
      </c>
      <c r="EO105" s="5">
        <v>0</v>
      </c>
      <c r="EP105" s="5">
        <v>0</v>
      </c>
      <c r="EQ105" s="5">
        <v>0</v>
      </c>
    </row>
    <row r="106" spans="1:147">
      <c r="A106" s="5"/>
      <c r="B106" s="5"/>
      <c r="C106" s="5"/>
      <c r="D106" s="5"/>
      <c r="E106" s="5">
        <v>80913000000000</v>
      </c>
      <c r="F106" s="5">
        <v>596640000000000</v>
      </c>
      <c r="G106" s="5">
        <v>151430000000000</v>
      </c>
      <c r="H106" s="5">
        <v>993330000000000</v>
      </c>
      <c r="I106" s="5">
        <v>129530000000000</v>
      </c>
      <c r="J106" s="5">
        <v>1306100000000000</v>
      </c>
      <c r="K106" s="5">
        <v>133750000000000</v>
      </c>
      <c r="L106" s="5">
        <v>1655600000000000</v>
      </c>
      <c r="M106" s="5">
        <v>147350000000000</v>
      </c>
      <c r="N106" s="5">
        <v>1845500000000000</v>
      </c>
      <c r="O106" s="5">
        <v>127710000000000</v>
      </c>
      <c r="P106" s="5">
        <v>2281600000000000</v>
      </c>
      <c r="Q106" s="5">
        <v>137120000000000</v>
      </c>
      <c r="R106" s="5">
        <v>3774800000000000</v>
      </c>
      <c r="S106" s="5">
        <v>160430000000000</v>
      </c>
      <c r="T106" s="5">
        <v>3585700000000000</v>
      </c>
      <c r="U106" s="5">
        <v>138410000000000</v>
      </c>
      <c r="V106" s="5">
        <v>4728500000000000</v>
      </c>
      <c r="W106" s="5">
        <v>138540000000000</v>
      </c>
      <c r="X106" s="5">
        <v>4180900000000000</v>
      </c>
      <c r="Y106" s="5">
        <v>117900000000000</v>
      </c>
      <c r="Z106" s="5">
        <v>2799400000000000</v>
      </c>
      <c r="AA106" s="5">
        <v>87061000000000</v>
      </c>
      <c r="AB106" s="5">
        <v>2154400000000000</v>
      </c>
      <c r="AC106" s="5">
        <v>65280000000000</v>
      </c>
      <c r="AD106" s="5">
        <v>1882000000000000</v>
      </c>
      <c r="AE106" s="5">
        <v>51944000000000</v>
      </c>
      <c r="AF106" s="5">
        <v>1883300000000000</v>
      </c>
      <c r="AG106" s="5">
        <v>46706000000000</v>
      </c>
      <c r="AH106" s="5">
        <v>1744800000000000</v>
      </c>
      <c r="AI106" s="5">
        <v>42224000000000</v>
      </c>
      <c r="AJ106" s="5">
        <v>1354300000000000</v>
      </c>
      <c r="AK106" s="5">
        <v>33316000000000</v>
      </c>
      <c r="AL106" s="5">
        <v>1010300000000000</v>
      </c>
      <c r="AM106" s="5">
        <v>27076000000000</v>
      </c>
      <c r="AN106" s="5">
        <v>686590000000000</v>
      </c>
      <c r="AO106" s="5">
        <v>22657000000000</v>
      </c>
      <c r="AP106" s="5">
        <v>382010000000000</v>
      </c>
      <c r="AQ106" s="5">
        <v>15357000000000</v>
      </c>
      <c r="AR106" s="5">
        <v>270550000000000</v>
      </c>
      <c r="AS106" s="5">
        <v>13122000000000</v>
      </c>
      <c r="AT106" s="5">
        <v>153960000000000</v>
      </c>
      <c r="AU106" s="5">
        <v>8082700000000</v>
      </c>
      <c r="AV106" s="5">
        <v>76107000000000</v>
      </c>
      <c r="AW106" s="5">
        <v>5365600000000</v>
      </c>
      <c r="AX106" s="5">
        <v>31984000000000</v>
      </c>
      <c r="AY106" s="5">
        <v>2443600000000</v>
      </c>
      <c r="AZ106" s="5">
        <v>18249000000000</v>
      </c>
      <c r="BA106" s="5">
        <v>1700800000000</v>
      </c>
      <c r="BB106" s="5">
        <v>10701000000000</v>
      </c>
      <c r="BC106" s="5">
        <v>1362200000000</v>
      </c>
      <c r="BD106" s="5">
        <v>4526000000000</v>
      </c>
      <c r="BE106" s="5">
        <v>643600000000</v>
      </c>
      <c r="BF106" s="5">
        <v>2423000000000</v>
      </c>
      <c r="BG106" s="5">
        <v>427910000000</v>
      </c>
      <c r="BH106" s="5">
        <v>2075300000000</v>
      </c>
      <c r="BI106" s="5">
        <v>358810000000</v>
      </c>
      <c r="BJ106" s="5">
        <v>1449000000000</v>
      </c>
      <c r="BK106" s="5">
        <v>313420000000</v>
      </c>
      <c r="BL106" s="5">
        <v>1048800000000</v>
      </c>
      <c r="BM106" s="5">
        <v>293870000000</v>
      </c>
      <c r="BN106" s="5">
        <v>380600000000</v>
      </c>
      <c r="BO106" s="5">
        <v>128070000000</v>
      </c>
      <c r="BP106" s="5">
        <v>226200000000</v>
      </c>
      <c r="BQ106" s="5">
        <v>76975000000</v>
      </c>
      <c r="BR106" s="5">
        <v>96198000000</v>
      </c>
      <c r="BS106" s="5">
        <v>44434000000</v>
      </c>
      <c r="BT106" s="5">
        <v>38574000000</v>
      </c>
      <c r="BU106" s="5">
        <v>18759000000</v>
      </c>
      <c r="BV106" s="5">
        <v>17995000000</v>
      </c>
      <c r="BW106" s="5">
        <v>8340700000</v>
      </c>
      <c r="BX106" s="5">
        <v>3275300000</v>
      </c>
      <c r="BY106" s="5">
        <v>2187600000</v>
      </c>
      <c r="BZ106" s="5">
        <v>2377400000</v>
      </c>
      <c r="CA106" s="5">
        <v>2062400000</v>
      </c>
      <c r="CB106" s="5">
        <v>0</v>
      </c>
      <c r="CC106" s="5">
        <v>0</v>
      </c>
      <c r="CD106" s="5">
        <v>470480000</v>
      </c>
      <c r="CE106" s="5">
        <v>333710000</v>
      </c>
      <c r="CF106" s="5">
        <v>171870000</v>
      </c>
      <c r="CG106" s="5">
        <v>171870000</v>
      </c>
      <c r="CH106" s="5">
        <v>0</v>
      </c>
      <c r="CI106" s="5">
        <v>0</v>
      </c>
      <c r="CJ106" s="5">
        <v>0</v>
      </c>
      <c r="CK106" s="5">
        <v>0</v>
      </c>
      <c r="CL106" s="5">
        <v>466210000</v>
      </c>
      <c r="CM106" s="5">
        <v>466210000</v>
      </c>
      <c r="CN106" s="5">
        <v>0</v>
      </c>
      <c r="CO106" s="5">
        <v>0</v>
      </c>
      <c r="CP106" s="5">
        <v>0</v>
      </c>
      <c r="CQ106" s="5">
        <v>0</v>
      </c>
      <c r="CR106" s="5">
        <v>0</v>
      </c>
      <c r="CS106" s="5">
        <v>0</v>
      </c>
      <c r="CT106" s="5">
        <v>0</v>
      </c>
      <c r="CU106" s="5">
        <v>0</v>
      </c>
      <c r="CV106" s="5">
        <v>0</v>
      </c>
      <c r="CW106" s="5">
        <v>0</v>
      </c>
      <c r="CX106" s="5">
        <v>0</v>
      </c>
      <c r="CY106" s="5">
        <v>0</v>
      </c>
      <c r="CZ106" s="5">
        <v>0</v>
      </c>
      <c r="DA106" s="5">
        <v>0</v>
      </c>
      <c r="DB106" s="5">
        <v>0</v>
      </c>
      <c r="DC106" s="5">
        <v>0</v>
      </c>
      <c r="DD106" s="5">
        <v>0</v>
      </c>
      <c r="DE106" s="5">
        <v>0</v>
      </c>
      <c r="DF106" s="5">
        <v>0</v>
      </c>
      <c r="DG106" s="5">
        <v>0</v>
      </c>
      <c r="DH106" s="5">
        <v>0</v>
      </c>
      <c r="DI106" s="5">
        <v>0</v>
      </c>
      <c r="DJ106" s="5">
        <v>0</v>
      </c>
      <c r="DK106" s="5">
        <v>0</v>
      </c>
      <c r="DL106" s="5">
        <v>0</v>
      </c>
      <c r="DM106" s="5">
        <v>0</v>
      </c>
      <c r="DN106" s="5">
        <v>0</v>
      </c>
      <c r="DO106" s="5">
        <v>0</v>
      </c>
      <c r="DP106" s="5">
        <v>0</v>
      </c>
      <c r="DQ106" s="5">
        <v>0</v>
      </c>
      <c r="DR106" s="5">
        <v>0</v>
      </c>
      <c r="DS106" s="5">
        <v>0</v>
      </c>
      <c r="DT106" s="5">
        <v>0</v>
      </c>
      <c r="DU106" s="5">
        <v>0</v>
      </c>
      <c r="DV106" s="5">
        <v>0</v>
      </c>
      <c r="DW106" s="5">
        <v>0</v>
      </c>
      <c r="DX106" s="5">
        <v>0</v>
      </c>
      <c r="DY106" s="5">
        <v>0</v>
      </c>
      <c r="DZ106" s="5">
        <v>0</v>
      </c>
      <c r="EA106" s="5">
        <v>0</v>
      </c>
      <c r="EB106" s="5">
        <v>0</v>
      </c>
      <c r="EC106" s="5">
        <v>0</v>
      </c>
      <c r="ED106" s="5">
        <v>0</v>
      </c>
      <c r="EE106" s="5">
        <v>0</v>
      </c>
      <c r="EF106" s="5">
        <v>0</v>
      </c>
      <c r="EG106" s="5">
        <v>0</v>
      </c>
      <c r="EH106" s="5">
        <v>0</v>
      </c>
      <c r="EI106" s="5">
        <v>0</v>
      </c>
      <c r="EJ106" s="5">
        <v>0</v>
      </c>
      <c r="EK106" s="5">
        <v>0</v>
      </c>
      <c r="EL106" s="5">
        <v>0</v>
      </c>
      <c r="EM106" s="5">
        <v>0</v>
      </c>
      <c r="EN106" s="5">
        <v>0</v>
      </c>
      <c r="EO106" s="5">
        <v>0</v>
      </c>
      <c r="EP106" s="5">
        <v>0</v>
      </c>
      <c r="EQ106" s="5">
        <v>0</v>
      </c>
    </row>
    <row r="107" spans="1:147">
      <c r="A107" s="5"/>
      <c r="B107" s="5"/>
      <c r="C107" s="5"/>
      <c r="D107" s="5"/>
      <c r="E107" s="5">
        <v>79275000000000</v>
      </c>
      <c r="F107" s="5">
        <v>268150000000000</v>
      </c>
      <c r="G107" s="5">
        <v>71892000000000</v>
      </c>
      <c r="H107" s="5">
        <v>654830000000000</v>
      </c>
      <c r="I107" s="5">
        <v>93772000000000</v>
      </c>
      <c r="J107" s="5">
        <v>1146000000000000</v>
      </c>
      <c r="K107" s="5">
        <v>116090000000000</v>
      </c>
      <c r="L107" s="5">
        <v>1417500000000000</v>
      </c>
      <c r="M107" s="5">
        <v>117510000000000</v>
      </c>
      <c r="N107" s="5">
        <v>1801900000000000</v>
      </c>
      <c r="O107" s="5">
        <v>126850000000000</v>
      </c>
      <c r="P107" s="5">
        <v>2094000000000000</v>
      </c>
      <c r="Q107" s="5">
        <v>122080000000000</v>
      </c>
      <c r="R107" s="5">
        <v>3140000000000000</v>
      </c>
      <c r="S107" s="5">
        <v>130630000000000</v>
      </c>
      <c r="T107" s="5">
        <v>3199600000000000</v>
      </c>
      <c r="U107" s="5">
        <v>121590000000000</v>
      </c>
      <c r="V107" s="5">
        <v>3241000000000000</v>
      </c>
      <c r="W107" s="5">
        <v>106300000000000</v>
      </c>
      <c r="X107" s="5">
        <v>1925400000000000</v>
      </c>
      <c r="Y107" s="5">
        <v>71240000000000</v>
      </c>
      <c r="Z107" s="5">
        <v>1494600000000000</v>
      </c>
      <c r="AA107" s="5">
        <v>54106000000000</v>
      </c>
      <c r="AB107" s="5">
        <v>1307000000000000</v>
      </c>
      <c r="AC107" s="5">
        <v>44178000000000</v>
      </c>
      <c r="AD107" s="5">
        <v>1296500000000000</v>
      </c>
      <c r="AE107" s="5">
        <v>40841000000000</v>
      </c>
      <c r="AF107" s="5">
        <v>1266200000000000</v>
      </c>
      <c r="AG107" s="5">
        <v>35708000000000</v>
      </c>
      <c r="AH107" s="5">
        <v>1137500000000000</v>
      </c>
      <c r="AI107" s="5">
        <v>31281000000000</v>
      </c>
      <c r="AJ107" s="5">
        <v>919420000000000</v>
      </c>
      <c r="AK107" s="5">
        <v>25836000000000</v>
      </c>
      <c r="AL107" s="5">
        <v>605410000000000</v>
      </c>
      <c r="AM107" s="5">
        <v>18889000000000</v>
      </c>
      <c r="AN107" s="5">
        <v>422080000000000</v>
      </c>
      <c r="AO107" s="5">
        <v>15237000000000</v>
      </c>
      <c r="AP107" s="5">
        <v>285570000000000</v>
      </c>
      <c r="AQ107" s="5">
        <v>11851000000000</v>
      </c>
      <c r="AR107" s="5">
        <v>212010000000000</v>
      </c>
      <c r="AS107" s="5">
        <v>10579000000000</v>
      </c>
      <c r="AT107" s="5">
        <v>123420000000000</v>
      </c>
      <c r="AU107" s="5">
        <v>7109000000000</v>
      </c>
      <c r="AV107" s="5">
        <v>67905000000000</v>
      </c>
      <c r="AW107" s="5">
        <v>4502100000000</v>
      </c>
      <c r="AX107" s="5">
        <v>29482000000000</v>
      </c>
      <c r="AY107" s="5">
        <v>2302500000000</v>
      </c>
      <c r="AZ107" s="5">
        <v>15682000000000</v>
      </c>
      <c r="BA107" s="5">
        <v>1626200000000</v>
      </c>
      <c r="BB107" s="5">
        <v>7863000000000</v>
      </c>
      <c r="BC107" s="5">
        <v>973440000000</v>
      </c>
      <c r="BD107" s="5">
        <v>4913800000000</v>
      </c>
      <c r="BE107" s="5">
        <v>774910000000</v>
      </c>
      <c r="BF107" s="5">
        <v>3675000000000</v>
      </c>
      <c r="BG107" s="5">
        <v>650100000000</v>
      </c>
      <c r="BH107" s="5">
        <v>1455100000000</v>
      </c>
      <c r="BI107" s="5">
        <v>322880000000</v>
      </c>
      <c r="BJ107" s="5">
        <v>876660000000</v>
      </c>
      <c r="BK107" s="5">
        <v>202510000000</v>
      </c>
      <c r="BL107" s="5">
        <v>739300000000</v>
      </c>
      <c r="BM107" s="5">
        <v>166420000000</v>
      </c>
      <c r="BN107" s="5">
        <v>334360000000</v>
      </c>
      <c r="BO107" s="5">
        <v>91280000000</v>
      </c>
      <c r="BP107" s="5">
        <v>205220000000</v>
      </c>
      <c r="BQ107" s="5">
        <v>76937000000</v>
      </c>
      <c r="BR107" s="5">
        <v>69214000000</v>
      </c>
      <c r="BS107" s="5">
        <v>21968000000</v>
      </c>
      <c r="BT107" s="5">
        <v>29751000000</v>
      </c>
      <c r="BU107" s="5">
        <v>22738000000</v>
      </c>
      <c r="BV107" s="5">
        <v>7422200000</v>
      </c>
      <c r="BW107" s="5">
        <v>5274200000</v>
      </c>
      <c r="BX107" s="5">
        <v>1234100000</v>
      </c>
      <c r="BY107" s="5">
        <v>715380000</v>
      </c>
      <c r="BZ107" s="5">
        <v>4400200000</v>
      </c>
      <c r="CA107" s="5">
        <v>2725100000</v>
      </c>
      <c r="CB107" s="5">
        <v>1964200000</v>
      </c>
      <c r="CC107" s="5">
        <v>1964200000</v>
      </c>
      <c r="CD107" s="5">
        <v>1046300000</v>
      </c>
      <c r="CE107" s="5">
        <v>1046300000</v>
      </c>
      <c r="CF107" s="5">
        <v>0</v>
      </c>
      <c r="CG107" s="5">
        <v>0</v>
      </c>
      <c r="CH107" s="5">
        <v>0</v>
      </c>
      <c r="CI107" s="5">
        <v>0</v>
      </c>
      <c r="CJ107" s="5">
        <v>0</v>
      </c>
      <c r="CK107" s="5">
        <v>0</v>
      </c>
      <c r="CL107" s="5">
        <v>0</v>
      </c>
      <c r="CM107" s="5">
        <v>0</v>
      </c>
      <c r="CN107" s="5">
        <v>0</v>
      </c>
      <c r="CO107" s="5">
        <v>0</v>
      </c>
      <c r="CP107" s="5">
        <v>0</v>
      </c>
      <c r="CQ107" s="5">
        <v>0</v>
      </c>
      <c r="CR107" s="5">
        <v>0</v>
      </c>
      <c r="CS107" s="5">
        <v>0</v>
      </c>
      <c r="CT107" s="5">
        <v>0</v>
      </c>
      <c r="CU107" s="5">
        <v>0</v>
      </c>
      <c r="CV107" s="5">
        <v>0</v>
      </c>
      <c r="CW107" s="5">
        <v>0</v>
      </c>
      <c r="CX107" s="5">
        <v>0</v>
      </c>
      <c r="CY107" s="5">
        <v>0</v>
      </c>
      <c r="CZ107" s="5">
        <v>0</v>
      </c>
      <c r="DA107" s="5">
        <v>0</v>
      </c>
      <c r="DB107" s="5">
        <v>0</v>
      </c>
      <c r="DC107" s="5">
        <v>0</v>
      </c>
      <c r="DD107" s="5">
        <v>0</v>
      </c>
      <c r="DE107" s="5">
        <v>0</v>
      </c>
      <c r="DF107" s="5">
        <v>0</v>
      </c>
      <c r="DG107" s="5">
        <v>0</v>
      </c>
      <c r="DH107" s="5">
        <v>0</v>
      </c>
      <c r="DI107" s="5">
        <v>0</v>
      </c>
      <c r="DJ107" s="5">
        <v>0</v>
      </c>
      <c r="DK107" s="5">
        <v>0</v>
      </c>
      <c r="DL107" s="5">
        <v>0</v>
      </c>
      <c r="DM107" s="5">
        <v>0</v>
      </c>
      <c r="DN107" s="5">
        <v>0</v>
      </c>
      <c r="DO107" s="5">
        <v>0</v>
      </c>
      <c r="DP107" s="5">
        <v>0</v>
      </c>
      <c r="DQ107" s="5">
        <v>0</v>
      </c>
      <c r="DR107" s="5">
        <v>0</v>
      </c>
      <c r="DS107" s="5">
        <v>0</v>
      </c>
      <c r="DT107" s="5">
        <v>0</v>
      </c>
      <c r="DU107" s="5">
        <v>0</v>
      </c>
      <c r="DV107" s="5">
        <v>0</v>
      </c>
      <c r="DW107" s="5">
        <v>0</v>
      </c>
      <c r="DX107" s="5">
        <v>0</v>
      </c>
      <c r="DY107" s="5">
        <v>0</v>
      </c>
      <c r="DZ107" s="5">
        <v>0</v>
      </c>
      <c r="EA107" s="5">
        <v>0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</row>
    <row r="108" spans="1:147">
      <c r="A108" s="5"/>
      <c r="B108" s="5"/>
      <c r="C108" s="5"/>
      <c r="D108" s="5"/>
      <c r="E108" s="5">
        <v>85390000000000</v>
      </c>
      <c r="F108" s="5">
        <v>648380000000000</v>
      </c>
      <c r="G108" s="5">
        <v>109450000000000</v>
      </c>
      <c r="H108" s="5">
        <v>861470000000000</v>
      </c>
      <c r="I108" s="5">
        <v>117850000000000</v>
      </c>
      <c r="J108" s="5">
        <v>1370800000000000</v>
      </c>
      <c r="K108" s="5">
        <v>123780000000000</v>
      </c>
      <c r="L108" s="5">
        <v>1388600000000000</v>
      </c>
      <c r="M108" s="5">
        <v>108590000000000</v>
      </c>
      <c r="N108" s="5">
        <v>1640800000000000</v>
      </c>
      <c r="O108" s="5">
        <v>108950000000000</v>
      </c>
      <c r="P108" s="5">
        <v>1915500000000000</v>
      </c>
      <c r="Q108" s="5">
        <v>106690000000000</v>
      </c>
      <c r="R108" s="5">
        <v>2737500000000000</v>
      </c>
      <c r="S108" s="5">
        <v>111960000000000</v>
      </c>
      <c r="T108" s="5">
        <v>2051500000000000</v>
      </c>
      <c r="U108" s="5">
        <v>88623000000000</v>
      </c>
      <c r="V108" s="5">
        <v>1602500000000000</v>
      </c>
      <c r="W108" s="5">
        <v>65223000000000</v>
      </c>
      <c r="X108" s="5">
        <v>1099700000000000</v>
      </c>
      <c r="Y108" s="5">
        <v>47509000000000</v>
      </c>
      <c r="Z108" s="5">
        <v>962290000000000</v>
      </c>
      <c r="AA108" s="5">
        <v>39839000000000</v>
      </c>
      <c r="AB108" s="5">
        <v>903630000000000</v>
      </c>
      <c r="AC108" s="5">
        <v>35784000000000</v>
      </c>
      <c r="AD108" s="5">
        <v>972670000000000</v>
      </c>
      <c r="AE108" s="5">
        <v>31320000000000</v>
      </c>
      <c r="AF108" s="5">
        <v>869210000000000</v>
      </c>
      <c r="AG108" s="5">
        <v>26772000000000</v>
      </c>
      <c r="AH108" s="5">
        <v>791370000000000</v>
      </c>
      <c r="AI108" s="5">
        <v>24058000000000</v>
      </c>
      <c r="AJ108" s="5">
        <v>576580000000000</v>
      </c>
      <c r="AK108" s="5">
        <v>18220000000000</v>
      </c>
      <c r="AL108" s="5">
        <v>422810000000000</v>
      </c>
      <c r="AM108" s="5">
        <v>15221000000000</v>
      </c>
      <c r="AN108" s="5">
        <v>292190000000000</v>
      </c>
      <c r="AO108" s="5">
        <v>12886000000000</v>
      </c>
      <c r="AP108" s="5">
        <v>203960000000000</v>
      </c>
      <c r="AQ108" s="5">
        <v>9790300000000</v>
      </c>
      <c r="AR108" s="5">
        <v>136270000000000</v>
      </c>
      <c r="AS108" s="5">
        <v>7018100000000</v>
      </c>
      <c r="AT108" s="5">
        <v>96614000000000</v>
      </c>
      <c r="AU108" s="5">
        <v>6202600000000</v>
      </c>
      <c r="AV108" s="5">
        <v>46652000000000</v>
      </c>
      <c r="AW108" s="5">
        <v>3503600000000</v>
      </c>
      <c r="AX108" s="5">
        <v>27713000000000</v>
      </c>
      <c r="AY108" s="5">
        <v>2896000000000</v>
      </c>
      <c r="AZ108" s="5">
        <v>10373000000000</v>
      </c>
      <c r="BA108" s="5">
        <v>1035200000000</v>
      </c>
      <c r="BB108" s="5">
        <v>5499200000000</v>
      </c>
      <c r="BC108" s="5">
        <v>742940000000</v>
      </c>
      <c r="BD108" s="5">
        <v>4823200000000</v>
      </c>
      <c r="BE108" s="5">
        <v>678630000000</v>
      </c>
      <c r="BF108" s="5">
        <v>2784100000000</v>
      </c>
      <c r="BG108" s="5">
        <v>493630000000</v>
      </c>
      <c r="BH108" s="5">
        <v>1697100000000</v>
      </c>
      <c r="BI108" s="5">
        <v>292410000000</v>
      </c>
      <c r="BJ108" s="5">
        <v>1296600000000</v>
      </c>
      <c r="BK108" s="5">
        <v>362650000000</v>
      </c>
      <c r="BL108" s="5">
        <v>416800000000</v>
      </c>
      <c r="BM108" s="5">
        <v>117330000000</v>
      </c>
      <c r="BN108" s="5">
        <v>277030000000</v>
      </c>
      <c r="BO108" s="5">
        <v>87873000000</v>
      </c>
      <c r="BP108" s="5">
        <v>4522300000</v>
      </c>
      <c r="BQ108" s="5">
        <v>2030900000</v>
      </c>
      <c r="BR108" s="5">
        <v>35496000000</v>
      </c>
      <c r="BS108" s="5">
        <v>25490000000</v>
      </c>
      <c r="BT108" s="5">
        <v>1632100000</v>
      </c>
      <c r="BU108" s="5">
        <v>1215900000</v>
      </c>
      <c r="BV108" s="5">
        <v>0</v>
      </c>
      <c r="BW108" s="5">
        <v>0</v>
      </c>
      <c r="BX108" s="5">
        <v>0</v>
      </c>
      <c r="BY108" s="5">
        <v>0</v>
      </c>
      <c r="BZ108" s="5">
        <v>272490000</v>
      </c>
      <c r="CA108" s="5">
        <v>272490000</v>
      </c>
      <c r="CB108" s="5">
        <v>0</v>
      </c>
      <c r="CC108" s="5">
        <v>0</v>
      </c>
      <c r="CD108" s="5">
        <v>0</v>
      </c>
      <c r="CE108" s="5">
        <v>0</v>
      </c>
      <c r="CF108" s="5">
        <v>0</v>
      </c>
      <c r="CG108" s="5">
        <v>0</v>
      </c>
      <c r="CH108" s="5">
        <v>0</v>
      </c>
      <c r="CI108" s="5">
        <v>0</v>
      </c>
      <c r="CJ108" s="5">
        <v>0</v>
      </c>
      <c r="CK108" s="5">
        <v>0</v>
      </c>
      <c r="CL108" s="5">
        <v>0</v>
      </c>
      <c r="CM108" s="5">
        <v>0</v>
      </c>
      <c r="CN108" s="5">
        <v>0</v>
      </c>
      <c r="CO108" s="5">
        <v>0</v>
      </c>
      <c r="CP108" s="5">
        <v>0</v>
      </c>
      <c r="CQ108" s="5">
        <v>0</v>
      </c>
      <c r="CR108" s="5">
        <v>0</v>
      </c>
      <c r="CS108" s="5">
        <v>0</v>
      </c>
      <c r="CT108" s="5">
        <v>0</v>
      </c>
      <c r="CU108" s="5">
        <v>0</v>
      </c>
      <c r="CV108" s="5">
        <v>0</v>
      </c>
      <c r="CW108" s="5">
        <v>0</v>
      </c>
      <c r="CX108" s="5">
        <v>0</v>
      </c>
      <c r="CY108" s="5">
        <v>0</v>
      </c>
      <c r="CZ108" s="5">
        <v>0</v>
      </c>
      <c r="DA108" s="5">
        <v>0</v>
      </c>
      <c r="DB108" s="5">
        <v>0</v>
      </c>
      <c r="DC108" s="5">
        <v>0</v>
      </c>
      <c r="DD108" s="5">
        <v>0</v>
      </c>
      <c r="DE108" s="5">
        <v>0</v>
      </c>
      <c r="DF108" s="5">
        <v>0</v>
      </c>
      <c r="DG108" s="5">
        <v>0</v>
      </c>
      <c r="DH108" s="5">
        <v>0</v>
      </c>
      <c r="DI108" s="5">
        <v>0</v>
      </c>
      <c r="DJ108" s="5">
        <v>0</v>
      </c>
      <c r="DK108" s="5">
        <v>0</v>
      </c>
      <c r="DL108" s="5">
        <v>0</v>
      </c>
      <c r="DM108" s="5">
        <v>0</v>
      </c>
      <c r="DN108" s="5">
        <v>0</v>
      </c>
      <c r="DO108" s="5">
        <v>0</v>
      </c>
      <c r="DP108" s="5">
        <v>0</v>
      </c>
      <c r="DQ108" s="5">
        <v>0</v>
      </c>
      <c r="DR108" s="5">
        <v>0</v>
      </c>
      <c r="DS108" s="5">
        <v>0</v>
      </c>
      <c r="DT108" s="5">
        <v>0</v>
      </c>
      <c r="DU108" s="5">
        <v>0</v>
      </c>
      <c r="DV108" s="5">
        <v>0</v>
      </c>
      <c r="DW108" s="5">
        <v>0</v>
      </c>
      <c r="DX108" s="5">
        <v>0</v>
      </c>
      <c r="DY108" s="5">
        <v>0</v>
      </c>
      <c r="DZ108" s="5">
        <v>0</v>
      </c>
      <c r="EA108" s="5">
        <v>0</v>
      </c>
      <c r="EB108" s="5">
        <v>0</v>
      </c>
      <c r="EC108" s="5">
        <v>0</v>
      </c>
      <c r="ED108" s="5">
        <v>0</v>
      </c>
      <c r="EE108" s="5">
        <v>0</v>
      </c>
      <c r="EF108" s="5">
        <v>0</v>
      </c>
      <c r="EG108" s="5">
        <v>0</v>
      </c>
      <c r="EH108" s="5">
        <v>0</v>
      </c>
      <c r="EI108" s="5">
        <v>0</v>
      </c>
      <c r="EJ108" s="5">
        <v>0</v>
      </c>
      <c r="EK108" s="5">
        <v>0</v>
      </c>
      <c r="EL108" s="5">
        <v>0</v>
      </c>
      <c r="EM108" s="5">
        <v>0</v>
      </c>
      <c r="EN108" s="5">
        <v>0</v>
      </c>
      <c r="EO108" s="5">
        <v>0</v>
      </c>
      <c r="EP108" s="5">
        <v>0</v>
      </c>
      <c r="EQ108" s="5">
        <v>0</v>
      </c>
    </row>
    <row r="109" spans="1:147">
      <c r="A109" s="5"/>
      <c r="B109" s="5"/>
      <c r="C109" s="5"/>
      <c r="D109" s="5"/>
      <c r="E109" s="5">
        <v>77179000000000</v>
      </c>
      <c r="F109" s="5">
        <v>479550000000000</v>
      </c>
      <c r="G109" s="5">
        <v>86511000000000</v>
      </c>
      <c r="H109" s="5">
        <v>648630000000000</v>
      </c>
      <c r="I109" s="5">
        <v>79068000000000</v>
      </c>
      <c r="J109" s="5">
        <v>1273800000000000</v>
      </c>
      <c r="K109" s="5">
        <v>100380000000000</v>
      </c>
      <c r="L109" s="5">
        <v>1065200000000000</v>
      </c>
      <c r="M109" s="5">
        <v>85853000000000</v>
      </c>
      <c r="N109" s="5">
        <v>1436300000000000</v>
      </c>
      <c r="O109" s="5">
        <v>90775000000000</v>
      </c>
      <c r="P109" s="5">
        <v>1426500000000000</v>
      </c>
      <c r="Q109" s="5">
        <v>79313000000000</v>
      </c>
      <c r="R109" s="5">
        <v>1781600000000000</v>
      </c>
      <c r="S109" s="5">
        <v>80352000000000</v>
      </c>
      <c r="T109" s="5">
        <v>917520000000000</v>
      </c>
      <c r="U109" s="5">
        <v>50922000000000</v>
      </c>
      <c r="V109" s="5">
        <v>696840000000000</v>
      </c>
      <c r="W109" s="5">
        <v>35678000000000</v>
      </c>
      <c r="X109" s="5">
        <v>589680000000000</v>
      </c>
      <c r="Y109" s="5">
        <v>28717000000000</v>
      </c>
      <c r="Z109" s="5">
        <v>592680000000000</v>
      </c>
      <c r="AA109" s="5">
        <v>27560000000000</v>
      </c>
      <c r="AB109" s="5">
        <v>590860000000000</v>
      </c>
      <c r="AC109" s="5">
        <v>25348000000000</v>
      </c>
      <c r="AD109" s="5">
        <v>646170000000000</v>
      </c>
      <c r="AE109" s="5">
        <v>24813000000000</v>
      </c>
      <c r="AF109" s="5">
        <v>577760000000000</v>
      </c>
      <c r="AG109" s="5">
        <v>20337000000000</v>
      </c>
      <c r="AH109" s="5">
        <v>494610000000000</v>
      </c>
      <c r="AI109" s="5">
        <v>18103000000000</v>
      </c>
      <c r="AJ109" s="5">
        <v>376000000000000</v>
      </c>
      <c r="AK109" s="5">
        <v>15754000000000</v>
      </c>
      <c r="AL109" s="5">
        <v>284260000000000</v>
      </c>
      <c r="AM109" s="5">
        <v>11911000000000</v>
      </c>
      <c r="AN109" s="5">
        <v>218340000000000</v>
      </c>
      <c r="AO109" s="5">
        <v>10808000000000</v>
      </c>
      <c r="AP109" s="5">
        <v>159950000000000</v>
      </c>
      <c r="AQ109" s="5">
        <v>8013300000000</v>
      </c>
      <c r="AR109" s="5">
        <v>111120000000000</v>
      </c>
      <c r="AS109" s="5">
        <v>6544900000000</v>
      </c>
      <c r="AT109" s="5">
        <v>80828000000000</v>
      </c>
      <c r="AU109" s="5">
        <v>5536800000000</v>
      </c>
      <c r="AV109" s="5">
        <v>38848000000000</v>
      </c>
      <c r="AW109" s="5">
        <v>3053400000000</v>
      </c>
      <c r="AX109" s="5">
        <v>17953000000000</v>
      </c>
      <c r="AY109" s="5">
        <v>1770200000000</v>
      </c>
      <c r="AZ109" s="5">
        <v>11570000000000</v>
      </c>
      <c r="BA109" s="5">
        <v>1166200000000</v>
      </c>
      <c r="BB109" s="5">
        <v>4719500000000</v>
      </c>
      <c r="BC109" s="5">
        <v>780610000000</v>
      </c>
      <c r="BD109" s="5">
        <v>3084100000000</v>
      </c>
      <c r="BE109" s="5">
        <v>574880000000</v>
      </c>
      <c r="BF109" s="5">
        <v>2186300000000</v>
      </c>
      <c r="BG109" s="5">
        <v>404250000000</v>
      </c>
      <c r="BH109" s="5">
        <v>1298900000000</v>
      </c>
      <c r="BI109" s="5">
        <v>290570000000</v>
      </c>
      <c r="BJ109" s="5">
        <v>818090000000</v>
      </c>
      <c r="BK109" s="5">
        <v>184150000000</v>
      </c>
      <c r="BL109" s="5">
        <v>351760000000</v>
      </c>
      <c r="BM109" s="5">
        <v>96841000000</v>
      </c>
      <c r="BN109" s="5">
        <v>307940000000</v>
      </c>
      <c r="BO109" s="5">
        <v>90072000000</v>
      </c>
      <c r="BP109" s="5">
        <v>168010000000</v>
      </c>
      <c r="BQ109" s="5">
        <v>67004000000</v>
      </c>
      <c r="BR109" s="5">
        <v>48044000000</v>
      </c>
      <c r="BS109" s="5">
        <v>28283000000</v>
      </c>
      <c r="BT109" s="5">
        <v>0</v>
      </c>
      <c r="BU109" s="5">
        <v>0</v>
      </c>
      <c r="BV109" s="5">
        <v>0</v>
      </c>
      <c r="BW109" s="5">
        <v>0</v>
      </c>
      <c r="BX109" s="5">
        <v>0</v>
      </c>
      <c r="BY109" s="5">
        <v>0</v>
      </c>
      <c r="BZ109" s="5">
        <v>0</v>
      </c>
      <c r="CA109" s="5">
        <v>0</v>
      </c>
      <c r="CB109" s="5">
        <v>0</v>
      </c>
      <c r="CC109" s="5">
        <v>0</v>
      </c>
      <c r="CD109" s="5">
        <v>0</v>
      </c>
      <c r="CE109" s="5">
        <v>0</v>
      </c>
      <c r="CF109" s="5">
        <v>0</v>
      </c>
      <c r="CG109" s="5">
        <v>0</v>
      </c>
      <c r="CH109" s="5">
        <v>0</v>
      </c>
      <c r="CI109" s="5">
        <v>0</v>
      </c>
      <c r="CJ109" s="5">
        <v>0</v>
      </c>
      <c r="CK109" s="5">
        <v>0</v>
      </c>
      <c r="CL109" s="5">
        <v>0</v>
      </c>
      <c r="CM109" s="5">
        <v>0</v>
      </c>
      <c r="CN109" s="5">
        <v>0</v>
      </c>
      <c r="CO109" s="5">
        <v>0</v>
      </c>
      <c r="CP109" s="5">
        <v>0</v>
      </c>
      <c r="CQ109" s="5">
        <v>0</v>
      </c>
      <c r="CR109" s="5">
        <v>0</v>
      </c>
      <c r="CS109" s="5">
        <v>0</v>
      </c>
      <c r="CT109" s="5">
        <v>0</v>
      </c>
      <c r="CU109" s="5">
        <v>0</v>
      </c>
      <c r="CV109" s="5">
        <v>0</v>
      </c>
      <c r="CW109" s="5">
        <v>0</v>
      </c>
      <c r="CX109" s="5">
        <v>0</v>
      </c>
      <c r="CY109" s="5">
        <v>0</v>
      </c>
      <c r="CZ109" s="5">
        <v>0</v>
      </c>
      <c r="DA109" s="5">
        <v>0</v>
      </c>
      <c r="DB109" s="5">
        <v>0</v>
      </c>
      <c r="DC109" s="5">
        <v>0</v>
      </c>
      <c r="DD109" s="5">
        <v>0</v>
      </c>
      <c r="DE109" s="5">
        <v>0</v>
      </c>
      <c r="DF109" s="5">
        <v>0</v>
      </c>
      <c r="DG109" s="5">
        <v>0</v>
      </c>
      <c r="DH109" s="5">
        <v>0</v>
      </c>
      <c r="DI109" s="5">
        <v>0</v>
      </c>
      <c r="DJ109" s="5">
        <v>0</v>
      </c>
      <c r="DK109" s="5">
        <v>0</v>
      </c>
      <c r="DL109" s="5">
        <v>0</v>
      </c>
      <c r="DM109" s="5">
        <v>0</v>
      </c>
      <c r="DN109" s="5">
        <v>0</v>
      </c>
      <c r="DO109" s="5">
        <v>0</v>
      </c>
      <c r="DP109" s="5">
        <v>0</v>
      </c>
      <c r="DQ109" s="5">
        <v>0</v>
      </c>
      <c r="DR109" s="5">
        <v>0</v>
      </c>
      <c r="DS109" s="5">
        <v>0</v>
      </c>
      <c r="DT109" s="5">
        <v>0</v>
      </c>
      <c r="DU109" s="5">
        <v>0</v>
      </c>
      <c r="DV109" s="5">
        <v>0</v>
      </c>
      <c r="DW109" s="5">
        <v>0</v>
      </c>
      <c r="DX109" s="5">
        <v>0</v>
      </c>
      <c r="DY109" s="5">
        <v>0</v>
      </c>
      <c r="DZ109" s="5">
        <v>0</v>
      </c>
      <c r="EA109" s="5">
        <v>0</v>
      </c>
      <c r="EB109" s="5">
        <v>0</v>
      </c>
      <c r="EC109" s="5">
        <v>0</v>
      </c>
      <c r="ED109" s="5">
        <v>0</v>
      </c>
      <c r="EE109" s="5">
        <v>0</v>
      </c>
      <c r="EF109" s="5">
        <v>0</v>
      </c>
      <c r="EG109" s="5">
        <v>0</v>
      </c>
      <c r="EH109" s="5">
        <v>0</v>
      </c>
      <c r="EI109" s="5">
        <v>0</v>
      </c>
      <c r="EJ109" s="5">
        <v>0</v>
      </c>
      <c r="EK109" s="5">
        <v>0</v>
      </c>
      <c r="EL109" s="5">
        <v>0</v>
      </c>
      <c r="EM109" s="5">
        <v>0</v>
      </c>
      <c r="EN109" s="5">
        <v>0</v>
      </c>
      <c r="EO109" s="5">
        <v>0</v>
      </c>
      <c r="EP109" s="5">
        <v>0</v>
      </c>
      <c r="EQ109" s="5">
        <v>0</v>
      </c>
    </row>
    <row r="110" spans="1:147">
      <c r="A110" s="5"/>
      <c r="B110" s="5"/>
      <c r="C110" s="5"/>
      <c r="D110" s="5"/>
      <c r="E110" s="5">
        <v>73271000000000</v>
      </c>
      <c r="F110" s="5">
        <v>443360000000000</v>
      </c>
      <c r="G110" s="5">
        <v>67922000000000</v>
      </c>
      <c r="H110" s="5">
        <v>610250000000000</v>
      </c>
      <c r="I110" s="5">
        <v>70301000000000</v>
      </c>
      <c r="J110" s="5">
        <v>1523600000000000</v>
      </c>
      <c r="K110" s="5">
        <v>474290000000000</v>
      </c>
      <c r="L110" s="5">
        <v>1154000000000000</v>
      </c>
      <c r="M110" s="5">
        <v>83316000000000</v>
      </c>
      <c r="N110" s="5">
        <v>1232800000000000</v>
      </c>
      <c r="O110" s="5">
        <v>78283000000000</v>
      </c>
      <c r="P110" s="5">
        <v>1003600000000000</v>
      </c>
      <c r="Q110" s="5">
        <v>63627000000000</v>
      </c>
      <c r="R110" s="5">
        <v>808650000000000</v>
      </c>
      <c r="S110" s="5">
        <v>50540000000000</v>
      </c>
      <c r="T110" s="5">
        <v>407690000000000</v>
      </c>
      <c r="U110" s="5">
        <v>29598000000000</v>
      </c>
      <c r="V110" s="5">
        <v>393890000000000</v>
      </c>
      <c r="W110" s="5">
        <v>25682000000000</v>
      </c>
      <c r="X110" s="5">
        <v>446530000000000</v>
      </c>
      <c r="Y110" s="5">
        <v>23979000000000</v>
      </c>
      <c r="Z110" s="5">
        <v>411760000000000</v>
      </c>
      <c r="AA110" s="5">
        <v>20712000000000</v>
      </c>
      <c r="AB110" s="5">
        <v>418940000000000</v>
      </c>
      <c r="AC110" s="5">
        <v>19355000000000</v>
      </c>
      <c r="AD110" s="5">
        <v>401550000000000</v>
      </c>
      <c r="AE110" s="5">
        <v>19234000000000</v>
      </c>
      <c r="AF110" s="5">
        <v>364420000000000</v>
      </c>
      <c r="AG110" s="5">
        <v>15087000000000</v>
      </c>
      <c r="AH110" s="5">
        <v>318690000000000</v>
      </c>
      <c r="AI110" s="5">
        <v>13162000000000</v>
      </c>
      <c r="AJ110" s="5">
        <v>274890000000000</v>
      </c>
      <c r="AK110" s="5">
        <v>11930000000000</v>
      </c>
      <c r="AL110" s="5">
        <v>210510000000000</v>
      </c>
      <c r="AM110" s="5">
        <v>10357000000000</v>
      </c>
      <c r="AN110" s="5">
        <v>155290000000000</v>
      </c>
      <c r="AO110" s="5">
        <v>8121600000000</v>
      </c>
      <c r="AP110" s="5">
        <v>114520000000000</v>
      </c>
      <c r="AQ110" s="5">
        <v>6596500000000</v>
      </c>
      <c r="AR110" s="5">
        <v>93575000000000</v>
      </c>
      <c r="AS110" s="5">
        <v>5773600000000</v>
      </c>
      <c r="AT110" s="5">
        <v>55973000000000</v>
      </c>
      <c r="AU110" s="5">
        <v>3873300000000</v>
      </c>
      <c r="AV110" s="5">
        <v>31256000000000</v>
      </c>
      <c r="AW110" s="5">
        <v>2456700000000</v>
      </c>
      <c r="AX110" s="5">
        <v>15034000000000</v>
      </c>
      <c r="AY110" s="5">
        <v>1604100000000</v>
      </c>
      <c r="AZ110" s="5">
        <v>6158000000000</v>
      </c>
      <c r="BA110" s="5">
        <v>742040000000</v>
      </c>
      <c r="BB110" s="5">
        <v>4241400000000</v>
      </c>
      <c r="BC110" s="5">
        <v>545020000000</v>
      </c>
      <c r="BD110" s="5">
        <v>2758800000000</v>
      </c>
      <c r="BE110" s="5">
        <v>481130000000</v>
      </c>
      <c r="BF110" s="5">
        <v>2509400000000</v>
      </c>
      <c r="BG110" s="5">
        <v>495100000000</v>
      </c>
      <c r="BH110" s="5">
        <v>1437000000000</v>
      </c>
      <c r="BI110" s="5">
        <v>346880000000</v>
      </c>
      <c r="BJ110" s="5">
        <v>1056900000000</v>
      </c>
      <c r="BK110" s="5">
        <v>271000000000</v>
      </c>
      <c r="BL110" s="5">
        <v>373540000000</v>
      </c>
      <c r="BM110" s="5">
        <v>117330000000</v>
      </c>
      <c r="BN110" s="5">
        <v>147210000000</v>
      </c>
      <c r="BO110" s="5">
        <v>57146000000</v>
      </c>
      <c r="BP110" s="5">
        <v>42714000000</v>
      </c>
      <c r="BQ110" s="5">
        <v>28170000000</v>
      </c>
      <c r="BR110" s="5">
        <v>31790000000</v>
      </c>
      <c r="BS110" s="5">
        <v>22653000000</v>
      </c>
      <c r="BT110" s="5">
        <v>0</v>
      </c>
      <c r="BU110" s="5">
        <v>0</v>
      </c>
      <c r="BV110" s="5">
        <v>0</v>
      </c>
      <c r="BW110" s="5">
        <v>0</v>
      </c>
      <c r="BX110" s="5">
        <v>859560000</v>
      </c>
      <c r="BY110" s="5">
        <v>859560000</v>
      </c>
      <c r="BZ110" s="5">
        <v>216270000</v>
      </c>
      <c r="CA110" s="5">
        <v>216270000</v>
      </c>
      <c r="CB110" s="5">
        <v>224780000</v>
      </c>
      <c r="CC110" s="5">
        <v>224780000</v>
      </c>
      <c r="CD110" s="5">
        <v>0</v>
      </c>
      <c r="CE110" s="5">
        <v>0</v>
      </c>
      <c r="CF110" s="5">
        <v>0</v>
      </c>
      <c r="CG110" s="5">
        <v>0</v>
      </c>
      <c r="CH110" s="5">
        <v>0</v>
      </c>
      <c r="CI110" s="5">
        <v>0</v>
      </c>
      <c r="CJ110" s="5">
        <v>0</v>
      </c>
      <c r="CK110" s="5">
        <v>0</v>
      </c>
      <c r="CL110" s="5">
        <v>0</v>
      </c>
      <c r="CM110" s="5">
        <v>0</v>
      </c>
      <c r="CN110" s="5">
        <v>0</v>
      </c>
      <c r="CO110" s="5">
        <v>0</v>
      </c>
      <c r="CP110" s="5">
        <v>0</v>
      </c>
      <c r="CQ110" s="5">
        <v>0</v>
      </c>
      <c r="CR110" s="5">
        <v>0</v>
      </c>
      <c r="CS110" s="5">
        <v>0</v>
      </c>
      <c r="CT110" s="5">
        <v>0</v>
      </c>
      <c r="CU110" s="5">
        <v>0</v>
      </c>
      <c r="CV110" s="5">
        <v>0</v>
      </c>
      <c r="CW110" s="5">
        <v>0</v>
      </c>
      <c r="CX110" s="5">
        <v>0</v>
      </c>
      <c r="CY110" s="5">
        <v>0</v>
      </c>
      <c r="CZ110" s="5">
        <v>0</v>
      </c>
      <c r="DA110" s="5">
        <v>0</v>
      </c>
      <c r="DB110" s="5">
        <v>0</v>
      </c>
      <c r="DC110" s="5">
        <v>0</v>
      </c>
      <c r="DD110" s="5">
        <v>0</v>
      </c>
      <c r="DE110" s="5">
        <v>0</v>
      </c>
      <c r="DF110" s="5">
        <v>0</v>
      </c>
      <c r="DG110" s="5">
        <v>0</v>
      </c>
      <c r="DH110" s="5">
        <v>0</v>
      </c>
      <c r="DI110" s="5">
        <v>0</v>
      </c>
      <c r="DJ110" s="5">
        <v>0</v>
      </c>
      <c r="DK110" s="5">
        <v>0</v>
      </c>
      <c r="DL110" s="5">
        <v>0</v>
      </c>
      <c r="DM110" s="5">
        <v>0</v>
      </c>
      <c r="DN110" s="5">
        <v>0</v>
      </c>
      <c r="DO110" s="5">
        <v>0</v>
      </c>
      <c r="DP110" s="5">
        <v>0</v>
      </c>
      <c r="DQ110" s="5">
        <v>0</v>
      </c>
      <c r="DR110" s="5">
        <v>0</v>
      </c>
      <c r="DS110" s="5">
        <v>0</v>
      </c>
      <c r="DT110" s="5">
        <v>0</v>
      </c>
      <c r="DU110" s="5">
        <v>0</v>
      </c>
      <c r="DV110" s="5">
        <v>0</v>
      </c>
      <c r="DW110" s="5">
        <v>0</v>
      </c>
      <c r="DX110" s="5">
        <v>0</v>
      </c>
      <c r="DY110" s="5">
        <v>0</v>
      </c>
      <c r="DZ110" s="5">
        <v>0</v>
      </c>
      <c r="EA110" s="5">
        <v>0</v>
      </c>
      <c r="EB110" s="5">
        <v>0</v>
      </c>
      <c r="EC110" s="5">
        <v>0</v>
      </c>
      <c r="ED110" s="5">
        <v>0</v>
      </c>
      <c r="EE110" s="5">
        <v>0</v>
      </c>
      <c r="EF110" s="5">
        <v>0</v>
      </c>
      <c r="EG110" s="5">
        <v>0</v>
      </c>
      <c r="EH110" s="5">
        <v>0</v>
      </c>
      <c r="EI110" s="5">
        <v>0</v>
      </c>
      <c r="EJ110" s="5">
        <v>0</v>
      </c>
      <c r="EK110" s="5">
        <v>0</v>
      </c>
      <c r="EL110" s="5">
        <v>0</v>
      </c>
      <c r="EM110" s="5">
        <v>0</v>
      </c>
      <c r="EN110" s="5">
        <v>0</v>
      </c>
      <c r="EO110" s="5">
        <v>0</v>
      </c>
      <c r="EP110" s="5">
        <v>0</v>
      </c>
      <c r="EQ110" s="5">
        <v>0</v>
      </c>
    </row>
    <row r="111" spans="1:147">
      <c r="A111" s="5"/>
      <c r="B111" s="5"/>
      <c r="C111" s="5"/>
      <c r="D111" s="5"/>
      <c r="E111" s="5">
        <v>186830000000000</v>
      </c>
      <c r="F111" s="5">
        <v>310690000000000</v>
      </c>
      <c r="G111" s="5">
        <v>51077000000000</v>
      </c>
      <c r="H111" s="5">
        <v>616750000000000</v>
      </c>
      <c r="I111" s="5">
        <v>65129000000000</v>
      </c>
      <c r="J111" s="5">
        <v>744530000000000</v>
      </c>
      <c r="K111" s="5">
        <v>66263000000000</v>
      </c>
      <c r="L111" s="5">
        <v>756800000000000</v>
      </c>
      <c r="M111" s="5">
        <v>56003000000000</v>
      </c>
      <c r="N111" s="5">
        <v>588510000000000</v>
      </c>
      <c r="O111" s="5">
        <v>45963000000000</v>
      </c>
      <c r="P111" s="5">
        <v>458260000000000</v>
      </c>
      <c r="Q111" s="5">
        <v>36615000000000</v>
      </c>
      <c r="R111" s="5">
        <v>363190000000000</v>
      </c>
      <c r="S111" s="5">
        <v>26840000000000</v>
      </c>
      <c r="T111" s="5">
        <v>262060000000000</v>
      </c>
      <c r="U111" s="5">
        <v>18999000000000</v>
      </c>
      <c r="V111" s="5">
        <v>339840000000000</v>
      </c>
      <c r="W111" s="5">
        <v>27255000000000</v>
      </c>
      <c r="X111" s="5">
        <v>295000000000000</v>
      </c>
      <c r="Y111" s="5">
        <v>18821000000000</v>
      </c>
      <c r="Z111" s="5">
        <v>299060000000000</v>
      </c>
      <c r="AA111" s="5">
        <v>16598000000000</v>
      </c>
      <c r="AB111" s="5">
        <v>275180000000000</v>
      </c>
      <c r="AC111" s="5">
        <v>17887000000000</v>
      </c>
      <c r="AD111" s="5">
        <v>247850000000000</v>
      </c>
      <c r="AE111" s="5">
        <v>12814000000000</v>
      </c>
      <c r="AF111" s="5">
        <v>240190000000000</v>
      </c>
      <c r="AG111" s="5">
        <v>11073000000000</v>
      </c>
      <c r="AH111" s="5">
        <v>213070000000000</v>
      </c>
      <c r="AI111" s="5">
        <v>10376000000000</v>
      </c>
      <c r="AJ111" s="5">
        <v>173180000000000</v>
      </c>
      <c r="AK111" s="5">
        <v>9853900000000</v>
      </c>
      <c r="AL111" s="5">
        <v>150730000000000</v>
      </c>
      <c r="AM111" s="5">
        <v>8606400000000</v>
      </c>
      <c r="AN111" s="5">
        <v>118190000000000</v>
      </c>
      <c r="AO111" s="5">
        <v>7422200000000</v>
      </c>
      <c r="AP111" s="5">
        <v>87796000000000</v>
      </c>
      <c r="AQ111" s="5">
        <v>5575100000000</v>
      </c>
      <c r="AR111" s="5">
        <v>57874000000000</v>
      </c>
      <c r="AS111" s="5">
        <v>3877500000000</v>
      </c>
      <c r="AT111" s="5">
        <v>44498000000000</v>
      </c>
      <c r="AU111" s="5">
        <v>3114800000000</v>
      </c>
      <c r="AV111" s="5">
        <v>26410000000000</v>
      </c>
      <c r="AW111" s="5">
        <v>2844400000000</v>
      </c>
      <c r="AX111" s="5">
        <v>13503000000000</v>
      </c>
      <c r="AY111" s="5">
        <v>1446200000000</v>
      </c>
      <c r="AZ111" s="5">
        <v>6083000000000</v>
      </c>
      <c r="BA111" s="5">
        <v>717790000000</v>
      </c>
      <c r="BB111" s="5">
        <v>3705900000000</v>
      </c>
      <c r="BC111" s="5">
        <v>539210000000</v>
      </c>
      <c r="BD111" s="5">
        <v>1733500000000</v>
      </c>
      <c r="BE111" s="5">
        <v>294170000000</v>
      </c>
      <c r="BF111" s="5">
        <v>1399500000000</v>
      </c>
      <c r="BG111" s="5">
        <v>268430000000</v>
      </c>
      <c r="BH111" s="5">
        <v>1189900000000</v>
      </c>
      <c r="BI111" s="5">
        <v>279500000000</v>
      </c>
      <c r="BJ111" s="5">
        <v>493430000000</v>
      </c>
      <c r="BK111" s="5">
        <v>106280000000</v>
      </c>
      <c r="BL111" s="5">
        <v>350480000000</v>
      </c>
      <c r="BM111" s="5">
        <v>89652000000</v>
      </c>
      <c r="BN111" s="5">
        <v>273290000000</v>
      </c>
      <c r="BO111" s="5">
        <v>136150000000</v>
      </c>
      <c r="BP111" s="5">
        <v>127760000000</v>
      </c>
      <c r="BQ111" s="5">
        <v>46570000000</v>
      </c>
      <c r="BR111" s="5">
        <v>759140000</v>
      </c>
      <c r="BS111" s="5">
        <v>759140000</v>
      </c>
      <c r="BT111" s="5">
        <v>726970000</v>
      </c>
      <c r="BU111" s="5">
        <v>726970000</v>
      </c>
      <c r="BV111" s="5">
        <v>0</v>
      </c>
      <c r="BW111" s="5">
        <v>0</v>
      </c>
      <c r="BX111" s="5">
        <v>0</v>
      </c>
      <c r="BY111" s="5">
        <v>0</v>
      </c>
      <c r="BZ111" s="5">
        <v>0</v>
      </c>
      <c r="CA111" s="5">
        <v>0</v>
      </c>
      <c r="CB111" s="5">
        <v>0</v>
      </c>
      <c r="CC111" s="5">
        <v>0</v>
      </c>
      <c r="CD111" s="5">
        <v>0</v>
      </c>
      <c r="CE111" s="5">
        <v>0</v>
      </c>
      <c r="CF111" s="5">
        <v>0</v>
      </c>
      <c r="CG111" s="5">
        <v>0</v>
      </c>
      <c r="CH111" s="5">
        <v>0</v>
      </c>
      <c r="CI111" s="5">
        <v>0</v>
      </c>
      <c r="CJ111" s="5">
        <v>0</v>
      </c>
      <c r="CK111" s="5">
        <v>0</v>
      </c>
      <c r="CL111" s="5">
        <v>0</v>
      </c>
      <c r="CM111" s="5">
        <v>0</v>
      </c>
      <c r="CN111" s="5">
        <v>0</v>
      </c>
      <c r="CO111" s="5">
        <v>0</v>
      </c>
      <c r="CP111" s="5">
        <v>0</v>
      </c>
      <c r="CQ111" s="5">
        <v>0</v>
      </c>
      <c r="CR111" s="5">
        <v>0</v>
      </c>
      <c r="CS111" s="5">
        <v>0</v>
      </c>
      <c r="CT111" s="5">
        <v>0</v>
      </c>
      <c r="CU111" s="5">
        <v>0</v>
      </c>
      <c r="CV111" s="5">
        <v>0</v>
      </c>
      <c r="CW111" s="5">
        <v>0</v>
      </c>
      <c r="CX111" s="5">
        <v>0</v>
      </c>
      <c r="CY111" s="5">
        <v>0</v>
      </c>
      <c r="CZ111" s="5">
        <v>0</v>
      </c>
      <c r="DA111" s="5">
        <v>0</v>
      </c>
      <c r="DB111" s="5">
        <v>0</v>
      </c>
      <c r="DC111" s="5">
        <v>0</v>
      </c>
      <c r="DD111" s="5">
        <v>0</v>
      </c>
      <c r="DE111" s="5">
        <v>0</v>
      </c>
      <c r="DF111" s="5">
        <v>0</v>
      </c>
      <c r="DG111" s="5">
        <v>0</v>
      </c>
      <c r="DH111" s="5">
        <v>0</v>
      </c>
      <c r="DI111" s="5">
        <v>0</v>
      </c>
      <c r="DJ111" s="5">
        <v>0</v>
      </c>
      <c r="DK111" s="5">
        <v>0</v>
      </c>
      <c r="DL111" s="5">
        <v>0</v>
      </c>
      <c r="DM111" s="5">
        <v>0</v>
      </c>
      <c r="DN111" s="5">
        <v>0</v>
      </c>
      <c r="DO111" s="5">
        <v>0</v>
      </c>
      <c r="DP111" s="5">
        <v>0</v>
      </c>
      <c r="DQ111" s="5">
        <v>0</v>
      </c>
      <c r="DR111" s="5">
        <v>0</v>
      </c>
      <c r="DS111" s="5">
        <v>0</v>
      </c>
      <c r="DT111" s="5">
        <v>0</v>
      </c>
      <c r="DU111" s="5">
        <v>0</v>
      </c>
      <c r="DV111" s="5">
        <v>0</v>
      </c>
      <c r="DW111" s="5">
        <v>0</v>
      </c>
      <c r="DX111" s="5">
        <v>0</v>
      </c>
      <c r="DY111" s="5">
        <v>0</v>
      </c>
      <c r="DZ111" s="5">
        <v>0</v>
      </c>
      <c r="EA111" s="5">
        <v>0</v>
      </c>
      <c r="EB111" s="5">
        <v>0</v>
      </c>
      <c r="EC111" s="5">
        <v>0</v>
      </c>
      <c r="ED111" s="5">
        <v>0</v>
      </c>
      <c r="EE111" s="5">
        <v>0</v>
      </c>
      <c r="EF111" s="5">
        <v>0</v>
      </c>
      <c r="EG111" s="5">
        <v>0</v>
      </c>
      <c r="EH111" s="5">
        <v>0</v>
      </c>
      <c r="EI111" s="5">
        <v>0</v>
      </c>
      <c r="EJ111" s="5">
        <v>0</v>
      </c>
      <c r="EK111" s="5">
        <v>0</v>
      </c>
      <c r="EL111" s="5">
        <v>0</v>
      </c>
      <c r="EM111" s="5">
        <v>0</v>
      </c>
      <c r="EN111" s="5">
        <v>0</v>
      </c>
      <c r="EO111" s="5">
        <v>0</v>
      </c>
      <c r="EP111" s="5">
        <v>0</v>
      </c>
      <c r="EQ111" s="5">
        <v>0</v>
      </c>
    </row>
    <row r="112" spans="1:147">
      <c r="A112" s="5"/>
      <c r="B112" s="5"/>
      <c r="C112" s="5"/>
      <c r="D112" s="5"/>
      <c r="E112" s="5">
        <v>53903000000000</v>
      </c>
      <c r="F112" s="5">
        <v>420540000000000</v>
      </c>
      <c r="G112" s="5">
        <v>60937000000000</v>
      </c>
      <c r="H112" s="5">
        <v>523670000000000</v>
      </c>
      <c r="I112" s="5">
        <v>56765000000000</v>
      </c>
      <c r="J112" s="5">
        <v>659410000000000</v>
      </c>
      <c r="K112" s="5">
        <v>56314000000000</v>
      </c>
      <c r="L112" s="5">
        <v>488850000000000</v>
      </c>
      <c r="M112" s="5">
        <v>40037000000000</v>
      </c>
      <c r="N112" s="5">
        <v>233290000000000</v>
      </c>
      <c r="O112" s="5">
        <v>23306000000000</v>
      </c>
      <c r="P112" s="5">
        <v>152220000000000</v>
      </c>
      <c r="Q112" s="5">
        <v>17429000000000</v>
      </c>
      <c r="R112" s="5">
        <v>212540000000000</v>
      </c>
      <c r="S112" s="5">
        <v>18491000000000</v>
      </c>
      <c r="T112" s="5">
        <v>195560000000000</v>
      </c>
      <c r="U112" s="5">
        <v>15156000000000</v>
      </c>
      <c r="V112" s="5">
        <v>203320000000000</v>
      </c>
      <c r="W112" s="5">
        <v>15086000000000</v>
      </c>
      <c r="X112" s="5">
        <v>209120000000000</v>
      </c>
      <c r="Y112" s="5">
        <v>15726000000000</v>
      </c>
      <c r="Z112" s="5">
        <v>200870000000000</v>
      </c>
      <c r="AA112" s="5">
        <v>12514000000000</v>
      </c>
      <c r="AB112" s="5">
        <v>186230000000000</v>
      </c>
      <c r="AC112" s="5">
        <v>11062000000000</v>
      </c>
      <c r="AD112" s="5">
        <v>190740000000000</v>
      </c>
      <c r="AE112" s="5">
        <v>11845000000000</v>
      </c>
      <c r="AF112" s="5">
        <v>164490000000000</v>
      </c>
      <c r="AG112" s="5">
        <v>9820200000000</v>
      </c>
      <c r="AH112" s="5">
        <v>155060000000000</v>
      </c>
      <c r="AI112" s="5">
        <v>8466100000000</v>
      </c>
      <c r="AJ112" s="5">
        <v>125610000000000</v>
      </c>
      <c r="AK112" s="5">
        <v>7021600000000</v>
      </c>
      <c r="AL112" s="5">
        <v>100040000000000</v>
      </c>
      <c r="AM112" s="5">
        <v>6062600000000</v>
      </c>
      <c r="AN112" s="5">
        <v>79777000000000</v>
      </c>
      <c r="AO112" s="5">
        <v>4850400000000</v>
      </c>
      <c r="AP112" s="5">
        <v>65320000000000</v>
      </c>
      <c r="AQ112" s="5">
        <v>4102100000000</v>
      </c>
      <c r="AR112" s="5">
        <v>44371000000000</v>
      </c>
      <c r="AS112" s="5">
        <v>3465400000000</v>
      </c>
      <c r="AT112" s="5">
        <v>34627000000000</v>
      </c>
      <c r="AU112" s="5">
        <v>2534700000000</v>
      </c>
      <c r="AV112" s="5">
        <v>21734000000000</v>
      </c>
      <c r="AW112" s="5">
        <v>2981900000000</v>
      </c>
      <c r="AX112" s="5">
        <v>10310000000000</v>
      </c>
      <c r="AY112" s="5">
        <v>1143300000000</v>
      </c>
      <c r="AZ112" s="5">
        <v>5417100000000</v>
      </c>
      <c r="BA112" s="5">
        <v>789810000000</v>
      </c>
      <c r="BB112" s="5">
        <v>3231500000000</v>
      </c>
      <c r="BC112" s="5">
        <v>449830000000</v>
      </c>
      <c r="BD112" s="5">
        <v>1650000000000</v>
      </c>
      <c r="BE112" s="5">
        <v>322240000000</v>
      </c>
      <c r="BF112" s="5">
        <v>1089100000000</v>
      </c>
      <c r="BG112" s="5">
        <v>247020000000</v>
      </c>
      <c r="BH112" s="5">
        <v>769250000000</v>
      </c>
      <c r="BI112" s="5">
        <v>161620000000</v>
      </c>
      <c r="BJ112" s="5">
        <v>576120000000</v>
      </c>
      <c r="BK112" s="5">
        <v>183550000000</v>
      </c>
      <c r="BL112" s="5">
        <v>256870000000</v>
      </c>
      <c r="BM112" s="5">
        <v>70664000000</v>
      </c>
      <c r="BN112" s="5">
        <v>132410000000</v>
      </c>
      <c r="BO112" s="5">
        <v>47560000000</v>
      </c>
      <c r="BP112" s="5">
        <v>30574000000</v>
      </c>
      <c r="BQ112" s="5">
        <v>17317000000</v>
      </c>
      <c r="BR112" s="5">
        <v>6984100000</v>
      </c>
      <c r="BS112" s="5">
        <v>6566400000</v>
      </c>
      <c r="BT112" s="5">
        <v>0</v>
      </c>
      <c r="BU112" s="5">
        <v>0</v>
      </c>
      <c r="BV112" s="5">
        <v>0</v>
      </c>
      <c r="BW112" s="5">
        <v>0</v>
      </c>
      <c r="BX112" s="5">
        <v>0</v>
      </c>
      <c r="BY112" s="5">
        <v>0</v>
      </c>
      <c r="BZ112" s="5">
        <v>0</v>
      </c>
      <c r="CA112" s="5">
        <v>0</v>
      </c>
      <c r="CB112" s="5">
        <v>0</v>
      </c>
      <c r="CC112" s="5">
        <v>0</v>
      </c>
      <c r="CD112" s="5">
        <v>0</v>
      </c>
      <c r="CE112" s="5">
        <v>0</v>
      </c>
      <c r="CF112" s="5">
        <v>0</v>
      </c>
      <c r="CG112" s="5">
        <v>0</v>
      </c>
      <c r="CH112" s="5">
        <v>0</v>
      </c>
      <c r="CI112" s="5">
        <v>0</v>
      </c>
      <c r="CJ112" s="5">
        <v>0</v>
      </c>
      <c r="CK112" s="5">
        <v>0</v>
      </c>
      <c r="CL112" s="5">
        <v>0</v>
      </c>
      <c r="CM112" s="5">
        <v>0</v>
      </c>
      <c r="CN112" s="5">
        <v>0</v>
      </c>
      <c r="CO112" s="5">
        <v>0</v>
      </c>
      <c r="CP112" s="5">
        <v>0</v>
      </c>
      <c r="CQ112" s="5">
        <v>0</v>
      </c>
      <c r="CR112" s="5">
        <v>0</v>
      </c>
      <c r="CS112" s="5">
        <v>0</v>
      </c>
      <c r="CT112" s="5">
        <v>0</v>
      </c>
      <c r="CU112" s="5">
        <v>0</v>
      </c>
      <c r="CV112" s="5">
        <v>0</v>
      </c>
      <c r="CW112" s="5">
        <v>0</v>
      </c>
      <c r="CX112" s="5">
        <v>0</v>
      </c>
      <c r="CY112" s="5">
        <v>0</v>
      </c>
      <c r="CZ112" s="5">
        <v>0</v>
      </c>
      <c r="DA112" s="5">
        <v>0</v>
      </c>
      <c r="DB112" s="5">
        <v>0</v>
      </c>
      <c r="DC112" s="5">
        <v>0</v>
      </c>
      <c r="DD112" s="5">
        <v>0</v>
      </c>
      <c r="DE112" s="5">
        <v>0</v>
      </c>
      <c r="DF112" s="5">
        <v>0</v>
      </c>
      <c r="DG112" s="5">
        <v>0</v>
      </c>
      <c r="DH112" s="5">
        <v>0</v>
      </c>
      <c r="DI112" s="5">
        <v>0</v>
      </c>
      <c r="DJ112" s="5">
        <v>0</v>
      </c>
      <c r="DK112" s="5">
        <v>0</v>
      </c>
      <c r="DL112" s="5">
        <v>0</v>
      </c>
      <c r="DM112" s="5">
        <v>0</v>
      </c>
      <c r="DN112" s="5">
        <v>0</v>
      </c>
      <c r="DO112" s="5">
        <v>0</v>
      </c>
      <c r="DP112" s="5">
        <v>0</v>
      </c>
      <c r="DQ112" s="5">
        <v>0</v>
      </c>
      <c r="DR112" s="5">
        <v>0</v>
      </c>
      <c r="DS112" s="5">
        <v>0</v>
      </c>
      <c r="DT112" s="5">
        <v>0</v>
      </c>
      <c r="DU112" s="5">
        <v>0</v>
      </c>
      <c r="DV112" s="5">
        <v>0</v>
      </c>
      <c r="DW112" s="5">
        <v>0</v>
      </c>
      <c r="DX112" s="5">
        <v>0</v>
      </c>
      <c r="DY112" s="5">
        <v>0</v>
      </c>
      <c r="DZ112" s="5">
        <v>0</v>
      </c>
      <c r="EA112" s="5">
        <v>0</v>
      </c>
      <c r="EB112" s="5">
        <v>0</v>
      </c>
      <c r="EC112" s="5">
        <v>0</v>
      </c>
      <c r="ED112" s="5">
        <v>0</v>
      </c>
      <c r="EE112" s="5">
        <v>0</v>
      </c>
      <c r="EF112" s="5">
        <v>0</v>
      </c>
      <c r="EG112" s="5">
        <v>0</v>
      </c>
      <c r="EH112" s="5">
        <v>0</v>
      </c>
      <c r="EI112" s="5">
        <v>0</v>
      </c>
      <c r="EJ112" s="5">
        <v>0</v>
      </c>
      <c r="EK112" s="5">
        <v>0</v>
      </c>
      <c r="EL112" s="5">
        <v>0</v>
      </c>
      <c r="EM112" s="5">
        <v>0</v>
      </c>
      <c r="EN112" s="5">
        <v>0</v>
      </c>
      <c r="EO112" s="5">
        <v>0</v>
      </c>
      <c r="EP112" s="5">
        <v>0</v>
      </c>
      <c r="EQ112" s="5">
        <v>0</v>
      </c>
    </row>
    <row r="113" spans="1:147">
      <c r="A113" s="5"/>
      <c r="B113" s="5"/>
      <c r="C113" s="5"/>
      <c r="D113" s="5"/>
      <c r="E113" s="5">
        <v>42282000000000</v>
      </c>
      <c r="F113" s="5">
        <v>361970000000000</v>
      </c>
      <c r="G113" s="5">
        <v>60268000000000</v>
      </c>
      <c r="H113" s="5">
        <v>494550000000000</v>
      </c>
      <c r="I113" s="5">
        <v>51927000000000</v>
      </c>
      <c r="J113" s="5">
        <v>412710000000000</v>
      </c>
      <c r="K113" s="5">
        <v>43624000000000</v>
      </c>
      <c r="L113" s="5">
        <v>157260000000000</v>
      </c>
      <c r="M113" s="5">
        <v>20255000000000</v>
      </c>
      <c r="N113" s="5">
        <v>122330000000000</v>
      </c>
      <c r="O113" s="5">
        <v>14937000000000</v>
      </c>
      <c r="P113" s="5">
        <v>122230000000000</v>
      </c>
      <c r="Q113" s="5">
        <v>13250000000000</v>
      </c>
      <c r="R113" s="5">
        <v>158020000000000</v>
      </c>
      <c r="S113" s="5">
        <v>21712000000000</v>
      </c>
      <c r="T113" s="5">
        <v>148610000000000</v>
      </c>
      <c r="U113" s="5">
        <v>14445000000000</v>
      </c>
      <c r="V113" s="5">
        <v>159200000000000</v>
      </c>
      <c r="W113" s="5">
        <v>12816000000000</v>
      </c>
      <c r="X113" s="5">
        <v>158910000000000</v>
      </c>
      <c r="Y113" s="5">
        <v>19625000000000</v>
      </c>
      <c r="Z113" s="5">
        <v>100550000000000</v>
      </c>
      <c r="AA113" s="5">
        <v>8164500000000</v>
      </c>
      <c r="AB113" s="5">
        <v>103260000000000</v>
      </c>
      <c r="AC113" s="5">
        <v>7476400000000</v>
      </c>
      <c r="AD113" s="5">
        <v>110880000000000</v>
      </c>
      <c r="AE113" s="5">
        <v>8460400000000</v>
      </c>
      <c r="AF113" s="5">
        <v>106700000000000</v>
      </c>
      <c r="AG113" s="5">
        <v>7372700000000</v>
      </c>
      <c r="AH113" s="5">
        <v>101160000000000</v>
      </c>
      <c r="AI113" s="5">
        <v>6201300000000</v>
      </c>
      <c r="AJ113" s="5">
        <v>92686000000000</v>
      </c>
      <c r="AK113" s="5">
        <v>6497300000000</v>
      </c>
      <c r="AL113" s="5">
        <v>84673000000000</v>
      </c>
      <c r="AM113" s="5">
        <v>5309000000000</v>
      </c>
      <c r="AN113" s="5">
        <v>56994000000000</v>
      </c>
      <c r="AO113" s="5">
        <v>3921200000000</v>
      </c>
      <c r="AP113" s="5">
        <v>59424000000000</v>
      </c>
      <c r="AQ113" s="5">
        <v>5152100000000</v>
      </c>
      <c r="AR113" s="5">
        <v>39223000000000</v>
      </c>
      <c r="AS113" s="5">
        <v>3157400000000</v>
      </c>
      <c r="AT113" s="5">
        <v>25807000000000</v>
      </c>
      <c r="AU113" s="5">
        <v>2196200000000</v>
      </c>
      <c r="AV113" s="5">
        <v>17082000000000</v>
      </c>
      <c r="AW113" s="5">
        <v>1540800000000</v>
      </c>
      <c r="AX113" s="5">
        <v>8382000000000</v>
      </c>
      <c r="AY113" s="5">
        <v>1785400000000</v>
      </c>
      <c r="AZ113" s="5">
        <v>3950700000000</v>
      </c>
      <c r="BA113" s="5">
        <v>536900000000</v>
      </c>
      <c r="BB113" s="5">
        <v>2882600000000</v>
      </c>
      <c r="BC113" s="5">
        <v>520320000000</v>
      </c>
      <c r="BD113" s="5">
        <v>1548200000000</v>
      </c>
      <c r="BE113" s="5">
        <v>261030000000</v>
      </c>
      <c r="BF113" s="5">
        <v>1066800000000</v>
      </c>
      <c r="BG113" s="5">
        <v>278860000000</v>
      </c>
      <c r="BH113" s="5">
        <v>831740000000</v>
      </c>
      <c r="BI113" s="5">
        <v>158110000000</v>
      </c>
      <c r="BJ113" s="5">
        <v>512780000000</v>
      </c>
      <c r="BK113" s="5">
        <v>105990000000</v>
      </c>
      <c r="BL113" s="5">
        <v>252120000000</v>
      </c>
      <c r="BM113" s="5">
        <v>70719000000</v>
      </c>
      <c r="BN113" s="5">
        <v>103550000000</v>
      </c>
      <c r="BO113" s="5">
        <v>39193000000</v>
      </c>
      <c r="BP113" s="5">
        <v>33800000000</v>
      </c>
      <c r="BQ113" s="5">
        <v>22670000000</v>
      </c>
      <c r="BR113" s="5">
        <v>52270000000</v>
      </c>
      <c r="BS113" s="5">
        <v>32381000000</v>
      </c>
      <c r="BT113" s="5">
        <v>8371200000</v>
      </c>
      <c r="BU113" s="5">
        <v>8371200000</v>
      </c>
      <c r="BV113" s="5">
        <v>0</v>
      </c>
      <c r="BW113" s="5">
        <v>0</v>
      </c>
      <c r="BX113" s="5">
        <v>0</v>
      </c>
      <c r="BY113" s="5">
        <v>0</v>
      </c>
      <c r="BZ113" s="5">
        <v>0</v>
      </c>
      <c r="CA113" s="5">
        <v>0</v>
      </c>
      <c r="CB113" s="5">
        <v>0</v>
      </c>
      <c r="CC113" s="5">
        <v>0</v>
      </c>
      <c r="CD113" s="5">
        <v>0</v>
      </c>
      <c r="CE113" s="5">
        <v>0</v>
      </c>
      <c r="CF113" s="5">
        <v>0</v>
      </c>
      <c r="CG113" s="5">
        <v>0</v>
      </c>
      <c r="CH113" s="5">
        <v>0</v>
      </c>
      <c r="CI113" s="5">
        <v>0</v>
      </c>
      <c r="CJ113" s="5">
        <v>0</v>
      </c>
      <c r="CK113" s="5">
        <v>0</v>
      </c>
      <c r="CL113" s="5">
        <v>0</v>
      </c>
      <c r="CM113" s="5">
        <v>0</v>
      </c>
      <c r="CN113" s="5">
        <v>0</v>
      </c>
      <c r="CO113" s="5">
        <v>0</v>
      </c>
      <c r="CP113" s="5">
        <v>0</v>
      </c>
      <c r="CQ113" s="5">
        <v>0</v>
      </c>
      <c r="CR113" s="5">
        <v>0</v>
      </c>
      <c r="CS113" s="5">
        <v>0</v>
      </c>
      <c r="CT113" s="5">
        <v>0</v>
      </c>
      <c r="CU113" s="5">
        <v>0</v>
      </c>
      <c r="CV113" s="5">
        <v>0</v>
      </c>
      <c r="CW113" s="5">
        <v>0</v>
      </c>
      <c r="CX113" s="5">
        <v>0</v>
      </c>
      <c r="CY113" s="5">
        <v>0</v>
      </c>
      <c r="CZ113" s="5">
        <v>0</v>
      </c>
      <c r="DA113" s="5">
        <v>0</v>
      </c>
      <c r="DB113" s="5">
        <v>0</v>
      </c>
      <c r="DC113" s="5">
        <v>0</v>
      </c>
      <c r="DD113" s="5">
        <v>0</v>
      </c>
      <c r="DE113" s="5">
        <v>0</v>
      </c>
      <c r="DF113" s="5">
        <v>0</v>
      </c>
      <c r="DG113" s="5">
        <v>0</v>
      </c>
      <c r="DH113" s="5">
        <v>0</v>
      </c>
      <c r="DI113" s="5">
        <v>0</v>
      </c>
      <c r="DJ113" s="5">
        <v>0</v>
      </c>
      <c r="DK113" s="5">
        <v>0</v>
      </c>
      <c r="DL113" s="5">
        <v>0</v>
      </c>
      <c r="DM113" s="5">
        <v>0</v>
      </c>
      <c r="DN113" s="5">
        <v>0</v>
      </c>
      <c r="DO113" s="5">
        <v>0</v>
      </c>
      <c r="DP113" s="5">
        <v>0</v>
      </c>
      <c r="DQ113" s="5">
        <v>0</v>
      </c>
      <c r="DR113" s="5">
        <v>0</v>
      </c>
      <c r="DS113" s="5">
        <v>0</v>
      </c>
      <c r="DT113" s="5">
        <v>0</v>
      </c>
      <c r="DU113" s="5">
        <v>0</v>
      </c>
      <c r="DV113" s="5">
        <v>0</v>
      </c>
      <c r="DW113" s="5">
        <v>0</v>
      </c>
      <c r="DX113" s="5">
        <v>0</v>
      </c>
      <c r="DY113" s="5">
        <v>0</v>
      </c>
      <c r="DZ113" s="5">
        <v>0</v>
      </c>
      <c r="EA113" s="5">
        <v>0</v>
      </c>
      <c r="EB113" s="5">
        <v>0</v>
      </c>
      <c r="EC113" s="5">
        <v>0</v>
      </c>
      <c r="ED113" s="5">
        <v>0</v>
      </c>
      <c r="EE113" s="5">
        <v>0</v>
      </c>
      <c r="EF113" s="5">
        <v>0</v>
      </c>
      <c r="EG113" s="5">
        <v>0</v>
      </c>
      <c r="EH113" s="5">
        <v>0</v>
      </c>
      <c r="EI113" s="5">
        <v>0</v>
      </c>
      <c r="EJ113" s="5">
        <v>0</v>
      </c>
      <c r="EK113" s="5">
        <v>0</v>
      </c>
      <c r="EL113" s="5">
        <v>0</v>
      </c>
      <c r="EM113" s="5">
        <v>0</v>
      </c>
      <c r="EN113" s="5">
        <v>0</v>
      </c>
      <c r="EO113" s="5">
        <v>0</v>
      </c>
      <c r="EP113" s="5">
        <v>0</v>
      </c>
      <c r="EQ113" s="5">
        <v>0</v>
      </c>
    </row>
    <row r="114" spans="1:147">
      <c r="A114" s="5"/>
      <c r="B114" s="5"/>
      <c r="C114" s="5"/>
      <c r="D114" s="5"/>
      <c r="E114" s="5">
        <v>32427000000000</v>
      </c>
      <c r="F114" s="5">
        <v>222040000000000</v>
      </c>
      <c r="G114" s="5">
        <v>33483000000000</v>
      </c>
      <c r="H114" s="5">
        <v>226090000000000</v>
      </c>
      <c r="I114" s="5">
        <v>31065000000000</v>
      </c>
      <c r="J114" s="5">
        <v>129430000000000</v>
      </c>
      <c r="K114" s="5">
        <v>20954000000000</v>
      </c>
      <c r="L114" s="5">
        <v>113930000000000</v>
      </c>
      <c r="M114" s="5">
        <v>23869000000000</v>
      </c>
      <c r="N114" s="5">
        <v>99616000000000</v>
      </c>
      <c r="O114" s="5">
        <v>21288000000000</v>
      </c>
      <c r="P114" s="5">
        <v>69572000000000</v>
      </c>
      <c r="Q114" s="5">
        <v>9141800000000</v>
      </c>
      <c r="R114" s="5">
        <v>97994000000000</v>
      </c>
      <c r="S114" s="5">
        <v>10779000000000</v>
      </c>
      <c r="T114" s="5">
        <v>88418000000000</v>
      </c>
      <c r="U114" s="5">
        <v>9133500000000</v>
      </c>
      <c r="V114" s="5">
        <v>89664000000000</v>
      </c>
      <c r="W114" s="5">
        <v>8724300000000</v>
      </c>
      <c r="X114" s="5">
        <v>76348000000000</v>
      </c>
      <c r="Y114" s="5">
        <v>7818000000000</v>
      </c>
      <c r="Z114" s="5">
        <v>75203000000000</v>
      </c>
      <c r="AA114" s="5">
        <v>7204500000000</v>
      </c>
      <c r="AB114" s="5">
        <v>75989000000000</v>
      </c>
      <c r="AC114" s="5">
        <v>6337500000000</v>
      </c>
      <c r="AD114" s="5">
        <v>78255000000000</v>
      </c>
      <c r="AE114" s="5">
        <v>6416900000000</v>
      </c>
      <c r="AF114" s="5">
        <v>85861000000000</v>
      </c>
      <c r="AG114" s="5">
        <v>7658800000000</v>
      </c>
      <c r="AH114" s="5">
        <v>77545000000000</v>
      </c>
      <c r="AI114" s="5">
        <v>5668600000000</v>
      </c>
      <c r="AJ114" s="5">
        <v>68505000000000</v>
      </c>
      <c r="AK114" s="5">
        <v>4863800000000</v>
      </c>
      <c r="AL114" s="5">
        <v>66783000000000</v>
      </c>
      <c r="AM114" s="5">
        <v>4781600000000</v>
      </c>
      <c r="AN114" s="5">
        <v>48243000000000</v>
      </c>
      <c r="AO114" s="5">
        <v>3415600000000</v>
      </c>
      <c r="AP114" s="5">
        <v>41404000000000</v>
      </c>
      <c r="AQ114" s="5">
        <v>3167400000000</v>
      </c>
      <c r="AR114" s="5">
        <v>39293000000000</v>
      </c>
      <c r="AS114" s="5">
        <v>3060900000000</v>
      </c>
      <c r="AT114" s="5">
        <v>22359000000000</v>
      </c>
      <c r="AU114" s="5">
        <v>2072700000000</v>
      </c>
      <c r="AV114" s="5">
        <v>12216000000000</v>
      </c>
      <c r="AW114" s="5">
        <v>1115300000000</v>
      </c>
      <c r="AX114" s="5">
        <v>7878500000000</v>
      </c>
      <c r="AY114" s="5">
        <v>910750000000</v>
      </c>
      <c r="AZ114" s="5">
        <v>4885100000000</v>
      </c>
      <c r="BA114" s="5">
        <v>582300000000</v>
      </c>
      <c r="BB114" s="5">
        <v>2156900000000</v>
      </c>
      <c r="BC114" s="5">
        <v>292910000000</v>
      </c>
      <c r="BD114" s="5">
        <v>1106100000000</v>
      </c>
      <c r="BE114" s="5">
        <v>208620000000</v>
      </c>
      <c r="BF114" s="5">
        <v>806320000000</v>
      </c>
      <c r="BG114" s="5">
        <v>156430000000</v>
      </c>
      <c r="BH114" s="5">
        <v>525020000000</v>
      </c>
      <c r="BI114" s="5">
        <v>126000000000</v>
      </c>
      <c r="BJ114" s="5">
        <v>266780000000</v>
      </c>
      <c r="BK114" s="5">
        <v>94708000000</v>
      </c>
      <c r="BL114" s="5">
        <v>209190000000</v>
      </c>
      <c r="BM114" s="5">
        <v>59494000000</v>
      </c>
      <c r="BN114" s="5">
        <v>46621000000</v>
      </c>
      <c r="BO114" s="5">
        <v>19091000000</v>
      </c>
      <c r="BP114" s="5">
        <v>45949000000</v>
      </c>
      <c r="BQ114" s="5">
        <v>22423000000</v>
      </c>
      <c r="BR114" s="5">
        <v>7613300000</v>
      </c>
      <c r="BS114" s="5">
        <v>6982200000</v>
      </c>
      <c r="BT114" s="5">
        <v>901870000</v>
      </c>
      <c r="BU114" s="5">
        <v>901870000</v>
      </c>
      <c r="BV114" s="5">
        <v>0</v>
      </c>
      <c r="BW114" s="5">
        <v>0</v>
      </c>
      <c r="BX114" s="5">
        <v>0</v>
      </c>
      <c r="BY114" s="5">
        <v>0</v>
      </c>
      <c r="BZ114" s="5">
        <v>0</v>
      </c>
      <c r="CA114" s="5">
        <v>0</v>
      </c>
      <c r="CB114" s="5">
        <v>0</v>
      </c>
      <c r="CC114" s="5">
        <v>0</v>
      </c>
      <c r="CD114" s="5">
        <v>0</v>
      </c>
      <c r="CE114" s="5">
        <v>0</v>
      </c>
      <c r="CF114" s="5">
        <v>0</v>
      </c>
      <c r="CG114" s="5">
        <v>0</v>
      </c>
      <c r="CH114" s="5">
        <v>0</v>
      </c>
      <c r="CI114" s="5">
        <v>0</v>
      </c>
      <c r="CJ114" s="5">
        <v>0</v>
      </c>
      <c r="CK114" s="5">
        <v>0</v>
      </c>
      <c r="CL114" s="5">
        <v>0</v>
      </c>
      <c r="CM114" s="5">
        <v>0</v>
      </c>
      <c r="CN114" s="5">
        <v>0</v>
      </c>
      <c r="CO114" s="5">
        <v>0</v>
      </c>
      <c r="CP114" s="5">
        <v>0</v>
      </c>
      <c r="CQ114" s="5">
        <v>0</v>
      </c>
      <c r="CR114" s="5">
        <v>0</v>
      </c>
      <c r="CS114" s="5">
        <v>0</v>
      </c>
      <c r="CT114" s="5">
        <v>0</v>
      </c>
      <c r="CU114" s="5">
        <v>0</v>
      </c>
      <c r="CV114" s="5">
        <v>0</v>
      </c>
      <c r="CW114" s="5">
        <v>0</v>
      </c>
      <c r="CX114" s="5">
        <v>0</v>
      </c>
      <c r="CY114" s="5">
        <v>0</v>
      </c>
      <c r="CZ114" s="5">
        <v>0</v>
      </c>
      <c r="DA114" s="5">
        <v>0</v>
      </c>
      <c r="DB114" s="5">
        <v>0</v>
      </c>
      <c r="DC114" s="5">
        <v>0</v>
      </c>
      <c r="DD114" s="5">
        <v>0</v>
      </c>
      <c r="DE114" s="5">
        <v>0</v>
      </c>
      <c r="DF114" s="5">
        <v>0</v>
      </c>
      <c r="DG114" s="5">
        <v>0</v>
      </c>
      <c r="DH114" s="5">
        <v>0</v>
      </c>
      <c r="DI114" s="5">
        <v>0</v>
      </c>
      <c r="DJ114" s="5">
        <v>0</v>
      </c>
      <c r="DK114" s="5">
        <v>0</v>
      </c>
      <c r="DL114" s="5">
        <v>0</v>
      </c>
      <c r="DM114" s="5">
        <v>0</v>
      </c>
      <c r="DN114" s="5">
        <v>0</v>
      </c>
      <c r="DO114" s="5">
        <v>0</v>
      </c>
      <c r="DP114" s="5">
        <v>0</v>
      </c>
      <c r="DQ114" s="5">
        <v>0</v>
      </c>
      <c r="DR114" s="5">
        <v>0</v>
      </c>
      <c r="DS114" s="5">
        <v>0</v>
      </c>
      <c r="DT114" s="5">
        <v>0</v>
      </c>
      <c r="DU114" s="5">
        <v>0</v>
      </c>
      <c r="DV114" s="5">
        <v>0</v>
      </c>
      <c r="DW114" s="5">
        <v>0</v>
      </c>
      <c r="DX114" s="5">
        <v>0</v>
      </c>
      <c r="DY114" s="5">
        <v>0</v>
      </c>
      <c r="DZ114" s="5">
        <v>0</v>
      </c>
      <c r="EA114" s="5">
        <v>0</v>
      </c>
      <c r="EB114" s="5">
        <v>0</v>
      </c>
      <c r="EC114" s="5">
        <v>0</v>
      </c>
      <c r="ED114" s="5">
        <v>0</v>
      </c>
      <c r="EE114" s="5">
        <v>0</v>
      </c>
      <c r="EF114" s="5">
        <v>0</v>
      </c>
      <c r="EG114" s="5">
        <v>0</v>
      </c>
      <c r="EH114" s="5">
        <v>0</v>
      </c>
      <c r="EI114" s="5">
        <v>0</v>
      </c>
      <c r="EJ114" s="5">
        <v>0</v>
      </c>
      <c r="EK114" s="5">
        <v>0</v>
      </c>
      <c r="EL114" s="5">
        <v>0</v>
      </c>
      <c r="EM114" s="5">
        <v>0</v>
      </c>
      <c r="EN114" s="5">
        <v>0</v>
      </c>
      <c r="EO114" s="5">
        <v>0</v>
      </c>
      <c r="EP114" s="5">
        <v>0</v>
      </c>
      <c r="EQ114" s="5">
        <v>0</v>
      </c>
    </row>
    <row r="115" spans="1:147">
      <c r="A115" s="5"/>
      <c r="B115" s="5"/>
      <c r="C115" s="5"/>
      <c r="D115" s="5"/>
      <c r="E115" s="5">
        <v>21331000000000</v>
      </c>
      <c r="F115" s="5">
        <v>107350000000000</v>
      </c>
      <c r="G115" s="5">
        <v>18035000000000</v>
      </c>
      <c r="H115" s="5">
        <v>54559000000000</v>
      </c>
      <c r="I115" s="5">
        <v>10334000000000</v>
      </c>
      <c r="J115" s="5">
        <v>85205000000000</v>
      </c>
      <c r="K115" s="5">
        <v>12210000000000</v>
      </c>
      <c r="L115" s="5">
        <v>69041000000000</v>
      </c>
      <c r="M115" s="5">
        <v>11343000000000</v>
      </c>
      <c r="N115" s="5">
        <v>75955000000000</v>
      </c>
      <c r="O115" s="5">
        <v>10786000000000</v>
      </c>
      <c r="P115" s="5">
        <v>55671000000000</v>
      </c>
      <c r="Q115" s="5">
        <v>8000000000000</v>
      </c>
      <c r="R115" s="5">
        <v>78901000000000</v>
      </c>
      <c r="S115" s="5">
        <v>9262900000000</v>
      </c>
      <c r="T115" s="5">
        <v>60759000000000</v>
      </c>
      <c r="U115" s="5">
        <v>7977600000000</v>
      </c>
      <c r="V115" s="5">
        <v>58865000000000</v>
      </c>
      <c r="W115" s="5">
        <v>8947500000000</v>
      </c>
      <c r="X115" s="5">
        <v>55055000000000</v>
      </c>
      <c r="Y115" s="5">
        <v>6094600000000</v>
      </c>
      <c r="Z115" s="5">
        <v>52803000000000</v>
      </c>
      <c r="AA115" s="5">
        <v>5544300000000</v>
      </c>
      <c r="AB115" s="5">
        <v>60650000000000</v>
      </c>
      <c r="AC115" s="5">
        <v>6871600000000</v>
      </c>
      <c r="AD115" s="5">
        <v>56819000000000</v>
      </c>
      <c r="AE115" s="5">
        <v>5108100000000</v>
      </c>
      <c r="AF115" s="5">
        <v>55595000000000</v>
      </c>
      <c r="AG115" s="5">
        <v>4736700000000</v>
      </c>
      <c r="AH115" s="5">
        <v>48770000000000</v>
      </c>
      <c r="AI115" s="5">
        <v>3755300000000</v>
      </c>
      <c r="AJ115" s="5">
        <v>56729000000000</v>
      </c>
      <c r="AK115" s="5">
        <v>4623400000000</v>
      </c>
      <c r="AL115" s="5">
        <v>50514000000000</v>
      </c>
      <c r="AM115" s="5">
        <v>3505700000000</v>
      </c>
      <c r="AN115" s="5">
        <v>44606000000000</v>
      </c>
      <c r="AO115" s="5">
        <v>3122400000000</v>
      </c>
      <c r="AP115" s="5">
        <v>36593000000000</v>
      </c>
      <c r="AQ115" s="5">
        <v>2923800000000</v>
      </c>
      <c r="AR115" s="5">
        <v>27206000000000</v>
      </c>
      <c r="AS115" s="5">
        <v>2209200000000</v>
      </c>
      <c r="AT115" s="5">
        <v>18225000000000</v>
      </c>
      <c r="AU115" s="5">
        <v>1787900000000</v>
      </c>
      <c r="AV115" s="5">
        <v>11056000000000</v>
      </c>
      <c r="AW115" s="5">
        <v>1073600000000</v>
      </c>
      <c r="AX115" s="5">
        <v>4660600000000</v>
      </c>
      <c r="AY115" s="5">
        <v>518260000000</v>
      </c>
      <c r="AZ115" s="5">
        <v>2353500000000</v>
      </c>
      <c r="BA115" s="5">
        <v>299840000000</v>
      </c>
      <c r="BB115" s="5">
        <v>1858200000000</v>
      </c>
      <c r="BC115" s="5">
        <v>347300000000</v>
      </c>
      <c r="BD115" s="5">
        <v>772980000000</v>
      </c>
      <c r="BE115" s="5">
        <v>150500000000</v>
      </c>
      <c r="BF115" s="5">
        <v>802510000000</v>
      </c>
      <c r="BG115" s="5">
        <v>142290000000</v>
      </c>
      <c r="BH115" s="5">
        <v>491270000000</v>
      </c>
      <c r="BI115" s="5">
        <v>105720000000</v>
      </c>
      <c r="BJ115" s="5">
        <v>183790000000</v>
      </c>
      <c r="BK115" s="5">
        <v>54366000000</v>
      </c>
      <c r="BL115" s="5">
        <v>57816000000</v>
      </c>
      <c r="BM115" s="5">
        <v>25676000000</v>
      </c>
      <c r="BN115" s="5">
        <v>10634000000</v>
      </c>
      <c r="BO115" s="5">
        <v>8941100000</v>
      </c>
      <c r="BP115" s="5">
        <v>54620000000</v>
      </c>
      <c r="BQ115" s="5">
        <v>40867000000</v>
      </c>
      <c r="BR115" s="5">
        <v>305920000</v>
      </c>
      <c r="BS115" s="5">
        <v>305920000</v>
      </c>
      <c r="BT115" s="5">
        <v>0</v>
      </c>
      <c r="BU115" s="5">
        <v>0</v>
      </c>
      <c r="BV115" s="5">
        <v>0</v>
      </c>
      <c r="BW115" s="5">
        <v>0</v>
      </c>
      <c r="BX115" s="5">
        <v>0</v>
      </c>
      <c r="BY115" s="5">
        <v>0</v>
      </c>
      <c r="BZ115" s="5">
        <v>0</v>
      </c>
      <c r="CA115" s="5">
        <v>0</v>
      </c>
      <c r="CB115" s="5">
        <v>0</v>
      </c>
      <c r="CC115" s="5">
        <v>0</v>
      </c>
      <c r="CD115" s="5">
        <v>0</v>
      </c>
      <c r="CE115" s="5">
        <v>0</v>
      </c>
      <c r="CF115" s="5">
        <v>0</v>
      </c>
      <c r="CG115" s="5">
        <v>0</v>
      </c>
      <c r="CH115" s="5">
        <v>0</v>
      </c>
      <c r="CI115" s="5">
        <v>0</v>
      </c>
      <c r="CJ115" s="5">
        <v>0</v>
      </c>
      <c r="CK115" s="5">
        <v>0</v>
      </c>
      <c r="CL115" s="5">
        <v>0</v>
      </c>
      <c r="CM115" s="5">
        <v>0</v>
      </c>
      <c r="CN115" s="5">
        <v>0</v>
      </c>
      <c r="CO115" s="5">
        <v>0</v>
      </c>
      <c r="CP115" s="5">
        <v>0</v>
      </c>
      <c r="CQ115" s="5">
        <v>0</v>
      </c>
      <c r="CR115" s="5">
        <v>0</v>
      </c>
      <c r="CS115" s="5">
        <v>0</v>
      </c>
      <c r="CT115" s="5">
        <v>0</v>
      </c>
      <c r="CU115" s="5">
        <v>0</v>
      </c>
      <c r="CV115" s="5">
        <v>0</v>
      </c>
      <c r="CW115" s="5">
        <v>0</v>
      </c>
      <c r="CX115" s="5">
        <v>0</v>
      </c>
      <c r="CY115" s="5">
        <v>0</v>
      </c>
      <c r="CZ115" s="5">
        <v>0</v>
      </c>
      <c r="DA115" s="5">
        <v>0</v>
      </c>
      <c r="DB115" s="5">
        <v>0</v>
      </c>
      <c r="DC115" s="5">
        <v>0</v>
      </c>
      <c r="DD115" s="5">
        <v>0</v>
      </c>
      <c r="DE115" s="5">
        <v>0</v>
      </c>
      <c r="DF115" s="5">
        <v>0</v>
      </c>
      <c r="DG115" s="5">
        <v>0</v>
      </c>
      <c r="DH115" s="5">
        <v>0</v>
      </c>
      <c r="DI115" s="5">
        <v>0</v>
      </c>
      <c r="DJ115" s="5">
        <v>0</v>
      </c>
      <c r="DK115" s="5">
        <v>0</v>
      </c>
      <c r="DL115" s="5">
        <v>0</v>
      </c>
      <c r="DM115" s="5">
        <v>0</v>
      </c>
      <c r="DN115" s="5">
        <v>0</v>
      </c>
      <c r="DO115" s="5">
        <v>0</v>
      </c>
      <c r="DP115" s="5">
        <v>0</v>
      </c>
      <c r="DQ115" s="5">
        <v>0</v>
      </c>
      <c r="DR115" s="5">
        <v>0</v>
      </c>
      <c r="DS115" s="5">
        <v>0</v>
      </c>
      <c r="DT115" s="5">
        <v>0</v>
      </c>
      <c r="DU115" s="5">
        <v>0</v>
      </c>
      <c r="DV115" s="5">
        <v>0</v>
      </c>
      <c r="DW115" s="5">
        <v>0</v>
      </c>
      <c r="DX115" s="5">
        <v>0</v>
      </c>
      <c r="DY115" s="5">
        <v>0</v>
      </c>
      <c r="DZ115" s="5">
        <v>0</v>
      </c>
      <c r="EA115" s="5">
        <v>0</v>
      </c>
      <c r="EB115" s="5">
        <v>0</v>
      </c>
      <c r="EC115" s="5">
        <v>0</v>
      </c>
      <c r="ED115" s="5">
        <v>0</v>
      </c>
      <c r="EE115" s="5">
        <v>0</v>
      </c>
      <c r="EF115" s="5">
        <v>0</v>
      </c>
      <c r="EG115" s="5">
        <v>0</v>
      </c>
      <c r="EH115" s="5">
        <v>0</v>
      </c>
      <c r="EI115" s="5">
        <v>0</v>
      </c>
      <c r="EJ115" s="5">
        <v>0</v>
      </c>
      <c r="EK115" s="5">
        <v>0</v>
      </c>
      <c r="EL115" s="5">
        <v>0</v>
      </c>
      <c r="EM115" s="5">
        <v>0</v>
      </c>
      <c r="EN115" s="5">
        <v>0</v>
      </c>
      <c r="EO115" s="5">
        <v>0</v>
      </c>
      <c r="EP115" s="5">
        <v>0</v>
      </c>
      <c r="EQ115" s="5">
        <v>0</v>
      </c>
    </row>
    <row r="116" spans="1:147">
      <c r="A116" s="5"/>
      <c r="B116" s="5"/>
      <c r="C116" s="5"/>
      <c r="D116" s="5"/>
      <c r="E116" s="5">
        <v>15256000000000</v>
      </c>
      <c r="F116" s="5">
        <v>38423000000000</v>
      </c>
      <c r="G116" s="5">
        <v>9675000000000</v>
      </c>
      <c r="H116" s="5">
        <v>51258000000000</v>
      </c>
      <c r="I116" s="5">
        <v>11958000000000</v>
      </c>
      <c r="J116" s="5">
        <v>54608000000000</v>
      </c>
      <c r="K116" s="5">
        <v>10146000000000</v>
      </c>
      <c r="L116" s="5">
        <v>40953000000000</v>
      </c>
      <c r="M116" s="5">
        <v>8055400000000</v>
      </c>
      <c r="N116" s="5">
        <v>56077000000000</v>
      </c>
      <c r="O116" s="5">
        <v>9667700000000</v>
      </c>
      <c r="P116" s="5">
        <v>40150000000000</v>
      </c>
      <c r="Q116" s="5">
        <v>6893800000000</v>
      </c>
      <c r="R116" s="5">
        <v>47973000000000</v>
      </c>
      <c r="S116" s="5">
        <v>8841500000000</v>
      </c>
      <c r="T116" s="5">
        <v>36314000000000</v>
      </c>
      <c r="U116" s="5">
        <v>6783400000000</v>
      </c>
      <c r="V116" s="5">
        <v>37189000000000</v>
      </c>
      <c r="W116" s="5">
        <v>4908900000000</v>
      </c>
      <c r="X116" s="5">
        <v>50432000000000</v>
      </c>
      <c r="Y116" s="5">
        <v>8462600000000</v>
      </c>
      <c r="Z116" s="5">
        <v>37520000000000</v>
      </c>
      <c r="AA116" s="5">
        <v>6888700000000</v>
      </c>
      <c r="AB116" s="5">
        <v>37811000000000</v>
      </c>
      <c r="AC116" s="5">
        <v>3939900000000</v>
      </c>
      <c r="AD116" s="5">
        <v>35584000000000</v>
      </c>
      <c r="AE116" s="5">
        <v>4042400000000</v>
      </c>
      <c r="AF116" s="5">
        <v>38403000000000</v>
      </c>
      <c r="AG116" s="5">
        <v>3686700000000</v>
      </c>
      <c r="AH116" s="5">
        <v>40981000000000</v>
      </c>
      <c r="AI116" s="5">
        <v>3864500000000</v>
      </c>
      <c r="AJ116" s="5">
        <v>43485000000000</v>
      </c>
      <c r="AK116" s="5">
        <v>3304800000000</v>
      </c>
      <c r="AL116" s="5">
        <v>36113000000000</v>
      </c>
      <c r="AM116" s="5">
        <v>3019000000000</v>
      </c>
      <c r="AN116" s="5">
        <v>32923000000000</v>
      </c>
      <c r="AO116" s="5">
        <v>2633900000000</v>
      </c>
      <c r="AP116" s="5">
        <v>24695000000000</v>
      </c>
      <c r="AQ116" s="5">
        <v>2346100000000</v>
      </c>
      <c r="AR116" s="5">
        <v>21250000000000</v>
      </c>
      <c r="AS116" s="5">
        <v>1668100000000</v>
      </c>
      <c r="AT116" s="5">
        <v>17809000000000</v>
      </c>
      <c r="AU116" s="5">
        <v>1786200000000</v>
      </c>
      <c r="AV116" s="5">
        <v>10549000000000</v>
      </c>
      <c r="AW116" s="5">
        <v>1192000000000</v>
      </c>
      <c r="AX116" s="5">
        <v>5438200000000</v>
      </c>
      <c r="AY116" s="5">
        <v>596030000000</v>
      </c>
      <c r="AZ116" s="5">
        <v>3037800000000</v>
      </c>
      <c r="BA116" s="5">
        <v>441700000000</v>
      </c>
      <c r="BB116" s="5">
        <v>1632400000000</v>
      </c>
      <c r="BC116" s="5">
        <v>302980000000</v>
      </c>
      <c r="BD116" s="5">
        <v>1140700000000</v>
      </c>
      <c r="BE116" s="5">
        <v>219810000000</v>
      </c>
      <c r="BF116" s="5">
        <v>596670000000</v>
      </c>
      <c r="BG116" s="5">
        <v>158350000000</v>
      </c>
      <c r="BH116" s="5">
        <v>468260000000</v>
      </c>
      <c r="BI116" s="5">
        <v>100820000000</v>
      </c>
      <c r="BJ116" s="5">
        <v>153720000000</v>
      </c>
      <c r="BK116" s="5">
        <v>37739000000</v>
      </c>
      <c r="BL116" s="5">
        <v>120790000000</v>
      </c>
      <c r="BM116" s="5">
        <v>36999000000</v>
      </c>
      <c r="BN116" s="5">
        <v>38028000000</v>
      </c>
      <c r="BO116" s="5">
        <v>28981000000</v>
      </c>
      <c r="BP116" s="5">
        <v>6775400000</v>
      </c>
      <c r="BQ116" s="5">
        <v>6442100000</v>
      </c>
      <c r="BR116" s="5">
        <v>0</v>
      </c>
      <c r="BS116" s="5">
        <v>0</v>
      </c>
      <c r="BT116" s="5">
        <v>0</v>
      </c>
      <c r="BU116" s="5">
        <v>0</v>
      </c>
      <c r="BV116" s="5">
        <v>0</v>
      </c>
      <c r="BW116" s="5">
        <v>0</v>
      </c>
      <c r="BX116" s="5">
        <v>0</v>
      </c>
      <c r="BY116" s="5">
        <v>0</v>
      </c>
      <c r="BZ116" s="5">
        <v>0</v>
      </c>
      <c r="CA116" s="5">
        <v>0</v>
      </c>
      <c r="CB116" s="5">
        <v>0</v>
      </c>
      <c r="CC116" s="5">
        <v>0</v>
      </c>
      <c r="CD116" s="5">
        <v>0</v>
      </c>
      <c r="CE116" s="5">
        <v>0</v>
      </c>
      <c r="CF116" s="5">
        <v>0</v>
      </c>
      <c r="CG116" s="5">
        <v>0</v>
      </c>
      <c r="CH116" s="5">
        <v>0</v>
      </c>
      <c r="CI116" s="5">
        <v>0</v>
      </c>
      <c r="CJ116" s="5">
        <v>0</v>
      </c>
      <c r="CK116" s="5">
        <v>0</v>
      </c>
      <c r="CL116" s="5">
        <v>0</v>
      </c>
      <c r="CM116" s="5">
        <v>0</v>
      </c>
      <c r="CN116" s="5">
        <v>0</v>
      </c>
      <c r="CO116" s="5">
        <v>0</v>
      </c>
      <c r="CP116" s="5">
        <v>0</v>
      </c>
      <c r="CQ116" s="5">
        <v>0</v>
      </c>
      <c r="CR116" s="5">
        <v>0</v>
      </c>
      <c r="CS116" s="5">
        <v>0</v>
      </c>
      <c r="CT116" s="5">
        <v>0</v>
      </c>
      <c r="CU116" s="5">
        <v>0</v>
      </c>
      <c r="CV116" s="5">
        <v>0</v>
      </c>
      <c r="CW116" s="5">
        <v>0</v>
      </c>
      <c r="CX116" s="5">
        <v>0</v>
      </c>
      <c r="CY116" s="5">
        <v>0</v>
      </c>
      <c r="CZ116" s="5">
        <v>0</v>
      </c>
      <c r="DA116" s="5">
        <v>0</v>
      </c>
      <c r="DB116" s="5">
        <v>0</v>
      </c>
      <c r="DC116" s="5">
        <v>0</v>
      </c>
      <c r="DD116" s="5">
        <v>0</v>
      </c>
      <c r="DE116" s="5">
        <v>0</v>
      </c>
      <c r="DF116" s="5">
        <v>0</v>
      </c>
      <c r="DG116" s="5">
        <v>0</v>
      </c>
      <c r="DH116" s="5">
        <v>0</v>
      </c>
      <c r="DI116" s="5">
        <v>0</v>
      </c>
      <c r="DJ116" s="5">
        <v>0</v>
      </c>
      <c r="DK116" s="5">
        <v>0</v>
      </c>
      <c r="DL116" s="5">
        <v>0</v>
      </c>
      <c r="DM116" s="5">
        <v>0</v>
      </c>
      <c r="DN116" s="5">
        <v>0</v>
      </c>
      <c r="DO116" s="5">
        <v>0</v>
      </c>
      <c r="DP116" s="5">
        <v>0</v>
      </c>
      <c r="DQ116" s="5">
        <v>0</v>
      </c>
      <c r="DR116" s="5">
        <v>0</v>
      </c>
      <c r="DS116" s="5">
        <v>0</v>
      </c>
      <c r="DT116" s="5">
        <v>0</v>
      </c>
      <c r="DU116" s="5">
        <v>0</v>
      </c>
      <c r="DV116" s="5">
        <v>0</v>
      </c>
      <c r="DW116" s="5">
        <v>0</v>
      </c>
      <c r="DX116" s="5">
        <v>0</v>
      </c>
      <c r="DY116" s="5">
        <v>0</v>
      </c>
      <c r="DZ116" s="5">
        <v>0</v>
      </c>
      <c r="EA116" s="5">
        <v>0</v>
      </c>
      <c r="EB116" s="5">
        <v>0</v>
      </c>
      <c r="EC116" s="5">
        <v>0</v>
      </c>
      <c r="ED116" s="5">
        <v>0</v>
      </c>
      <c r="EE116" s="5">
        <v>0</v>
      </c>
      <c r="EF116" s="5">
        <v>0</v>
      </c>
      <c r="EG116" s="5">
        <v>0</v>
      </c>
      <c r="EH116" s="5">
        <v>0</v>
      </c>
      <c r="EI116" s="5">
        <v>0</v>
      </c>
      <c r="EJ116" s="5">
        <v>0</v>
      </c>
      <c r="EK116" s="5">
        <v>0</v>
      </c>
      <c r="EL116" s="5">
        <v>0</v>
      </c>
      <c r="EM116" s="5">
        <v>0</v>
      </c>
      <c r="EN116" s="5">
        <v>0</v>
      </c>
      <c r="EO116" s="5">
        <v>0</v>
      </c>
      <c r="EP116" s="5">
        <v>0</v>
      </c>
      <c r="EQ116" s="5">
        <v>0</v>
      </c>
    </row>
    <row r="117" spans="1:147">
      <c r="A117" s="5"/>
      <c r="B117" s="5"/>
      <c r="C117" s="5"/>
      <c r="D117" s="5"/>
      <c r="E117" s="5">
        <v>6187700000000</v>
      </c>
      <c r="F117" s="5">
        <v>20896000000000</v>
      </c>
      <c r="G117" s="5">
        <v>6183000000000</v>
      </c>
      <c r="H117" s="5">
        <v>25583000000000</v>
      </c>
      <c r="I117" s="5">
        <v>7610800000000</v>
      </c>
      <c r="J117" s="5">
        <v>24814000000000</v>
      </c>
      <c r="K117" s="5">
        <v>4141500000000</v>
      </c>
      <c r="L117" s="5">
        <v>30048000000000</v>
      </c>
      <c r="M117" s="5">
        <v>5931400000000</v>
      </c>
      <c r="N117" s="5">
        <v>36133000000000</v>
      </c>
      <c r="O117" s="5">
        <v>6811000000000</v>
      </c>
      <c r="P117" s="5">
        <v>27717000000000</v>
      </c>
      <c r="Q117" s="5">
        <v>5241300000000</v>
      </c>
      <c r="R117" s="5">
        <v>33727000000000</v>
      </c>
      <c r="S117" s="5">
        <v>8876900000000</v>
      </c>
      <c r="T117" s="5">
        <v>25237000000000</v>
      </c>
      <c r="U117" s="5">
        <v>4328200000000</v>
      </c>
      <c r="V117" s="5">
        <v>33061000000000</v>
      </c>
      <c r="W117" s="5">
        <v>7306400000000</v>
      </c>
      <c r="X117" s="5">
        <v>29804000000000</v>
      </c>
      <c r="Y117" s="5">
        <v>4560000000000</v>
      </c>
      <c r="Z117" s="5">
        <v>28645000000000</v>
      </c>
      <c r="AA117" s="5">
        <v>3764000000000</v>
      </c>
      <c r="AB117" s="5">
        <v>24293000000000</v>
      </c>
      <c r="AC117" s="5">
        <v>3204200000000</v>
      </c>
      <c r="AD117" s="5">
        <v>34276000000000</v>
      </c>
      <c r="AE117" s="5">
        <v>4085700000000</v>
      </c>
      <c r="AF117" s="5">
        <v>32917000000000</v>
      </c>
      <c r="AG117" s="5">
        <v>3077700000000</v>
      </c>
      <c r="AH117" s="5">
        <v>30948000000000</v>
      </c>
      <c r="AI117" s="5">
        <v>2748200000000</v>
      </c>
      <c r="AJ117" s="5">
        <v>35462000000000</v>
      </c>
      <c r="AK117" s="5">
        <v>2769600000000</v>
      </c>
      <c r="AL117" s="5">
        <v>37521000000000</v>
      </c>
      <c r="AM117" s="5">
        <v>3609600000000</v>
      </c>
      <c r="AN117" s="5">
        <v>25034000000000</v>
      </c>
      <c r="AO117" s="5">
        <v>2175400000000</v>
      </c>
      <c r="AP117" s="5">
        <v>21324000000000</v>
      </c>
      <c r="AQ117" s="5">
        <v>1993800000000</v>
      </c>
      <c r="AR117" s="5">
        <v>14653000000000</v>
      </c>
      <c r="AS117" s="5">
        <v>1418400000000</v>
      </c>
      <c r="AT117" s="5">
        <v>12391000000000</v>
      </c>
      <c r="AU117" s="5">
        <v>1084200000000</v>
      </c>
      <c r="AV117" s="5">
        <v>7395200000000</v>
      </c>
      <c r="AW117" s="5">
        <v>859320000000</v>
      </c>
      <c r="AX117" s="5">
        <v>3381100000000</v>
      </c>
      <c r="AY117" s="5">
        <v>390510000000</v>
      </c>
      <c r="AZ117" s="5">
        <v>2025800000000</v>
      </c>
      <c r="BA117" s="5">
        <v>263550000000</v>
      </c>
      <c r="BB117" s="5">
        <v>1052700000000</v>
      </c>
      <c r="BC117" s="5">
        <v>175270000000</v>
      </c>
      <c r="BD117" s="5">
        <v>561720000000</v>
      </c>
      <c r="BE117" s="5">
        <v>147000000000</v>
      </c>
      <c r="BF117" s="5">
        <v>561770000000</v>
      </c>
      <c r="BG117" s="5">
        <v>110330000000</v>
      </c>
      <c r="BH117" s="5">
        <v>251480000000</v>
      </c>
      <c r="BI117" s="5">
        <v>65234000000</v>
      </c>
      <c r="BJ117" s="5">
        <v>190330000000</v>
      </c>
      <c r="BK117" s="5">
        <v>58792000000</v>
      </c>
      <c r="BL117" s="5">
        <v>120590000000</v>
      </c>
      <c r="BM117" s="5">
        <v>39893000000</v>
      </c>
      <c r="BN117" s="5">
        <v>54033000000</v>
      </c>
      <c r="BO117" s="5">
        <v>19890000000</v>
      </c>
      <c r="BP117" s="5">
        <v>18794000000</v>
      </c>
      <c r="BQ117" s="5">
        <v>13428000000</v>
      </c>
      <c r="BR117" s="5">
        <v>8208300000</v>
      </c>
      <c r="BS117" s="5">
        <v>8208300000</v>
      </c>
      <c r="BT117" s="5">
        <v>0</v>
      </c>
      <c r="BU117" s="5">
        <v>0</v>
      </c>
      <c r="BV117" s="5">
        <v>0</v>
      </c>
      <c r="BW117" s="5">
        <v>0</v>
      </c>
      <c r="BX117" s="5">
        <v>0</v>
      </c>
      <c r="BY117" s="5">
        <v>0</v>
      </c>
      <c r="BZ117" s="5">
        <v>0</v>
      </c>
      <c r="CA117" s="5">
        <v>0</v>
      </c>
      <c r="CB117" s="5">
        <v>0</v>
      </c>
      <c r="CC117" s="5">
        <v>0</v>
      </c>
      <c r="CD117" s="5">
        <v>0</v>
      </c>
      <c r="CE117" s="5">
        <v>0</v>
      </c>
      <c r="CF117" s="5">
        <v>0</v>
      </c>
      <c r="CG117" s="5">
        <v>0</v>
      </c>
      <c r="CH117" s="5">
        <v>0</v>
      </c>
      <c r="CI117" s="5">
        <v>0</v>
      </c>
      <c r="CJ117" s="5">
        <v>0</v>
      </c>
      <c r="CK117" s="5">
        <v>0</v>
      </c>
      <c r="CL117" s="5">
        <v>0</v>
      </c>
      <c r="CM117" s="5">
        <v>0</v>
      </c>
      <c r="CN117" s="5">
        <v>0</v>
      </c>
      <c r="CO117" s="5">
        <v>0</v>
      </c>
      <c r="CP117" s="5">
        <v>0</v>
      </c>
      <c r="CQ117" s="5">
        <v>0</v>
      </c>
      <c r="CR117" s="5">
        <v>0</v>
      </c>
      <c r="CS117" s="5">
        <v>0</v>
      </c>
      <c r="CT117" s="5">
        <v>0</v>
      </c>
      <c r="CU117" s="5">
        <v>0</v>
      </c>
      <c r="CV117" s="5">
        <v>0</v>
      </c>
      <c r="CW117" s="5">
        <v>0</v>
      </c>
      <c r="CX117" s="5">
        <v>0</v>
      </c>
      <c r="CY117" s="5">
        <v>0</v>
      </c>
      <c r="CZ117" s="5">
        <v>0</v>
      </c>
      <c r="DA117" s="5">
        <v>0</v>
      </c>
      <c r="DB117" s="5">
        <v>0</v>
      </c>
      <c r="DC117" s="5">
        <v>0</v>
      </c>
      <c r="DD117" s="5">
        <v>0</v>
      </c>
      <c r="DE117" s="5">
        <v>0</v>
      </c>
      <c r="DF117" s="5">
        <v>0</v>
      </c>
      <c r="DG117" s="5">
        <v>0</v>
      </c>
      <c r="DH117" s="5">
        <v>0</v>
      </c>
      <c r="DI117" s="5">
        <v>0</v>
      </c>
      <c r="DJ117" s="5">
        <v>0</v>
      </c>
      <c r="DK117" s="5">
        <v>0</v>
      </c>
      <c r="DL117" s="5">
        <v>0</v>
      </c>
      <c r="DM117" s="5">
        <v>0</v>
      </c>
      <c r="DN117" s="5">
        <v>0</v>
      </c>
      <c r="DO117" s="5">
        <v>0</v>
      </c>
      <c r="DP117" s="5">
        <v>0</v>
      </c>
      <c r="DQ117" s="5">
        <v>0</v>
      </c>
      <c r="DR117" s="5">
        <v>0</v>
      </c>
      <c r="DS117" s="5">
        <v>0</v>
      </c>
      <c r="DT117" s="5">
        <v>0</v>
      </c>
      <c r="DU117" s="5">
        <v>0</v>
      </c>
      <c r="DV117" s="5">
        <v>0</v>
      </c>
      <c r="DW117" s="5">
        <v>0</v>
      </c>
      <c r="DX117" s="5">
        <v>0</v>
      </c>
      <c r="DY117" s="5">
        <v>0</v>
      </c>
      <c r="DZ117" s="5">
        <v>0</v>
      </c>
      <c r="EA117" s="5">
        <v>0</v>
      </c>
      <c r="EB117" s="5">
        <v>0</v>
      </c>
      <c r="EC117" s="5">
        <v>0</v>
      </c>
      <c r="ED117" s="5">
        <v>0</v>
      </c>
      <c r="EE117" s="5">
        <v>0</v>
      </c>
      <c r="EF117" s="5">
        <v>0</v>
      </c>
      <c r="EG117" s="5">
        <v>0</v>
      </c>
      <c r="EH117" s="5">
        <v>0</v>
      </c>
      <c r="EI117" s="5">
        <v>0</v>
      </c>
      <c r="EJ117" s="5">
        <v>0</v>
      </c>
      <c r="EK117" s="5">
        <v>0</v>
      </c>
      <c r="EL117" s="5">
        <v>0</v>
      </c>
      <c r="EM117" s="5">
        <v>0</v>
      </c>
      <c r="EN117" s="5">
        <v>0</v>
      </c>
      <c r="EO117" s="5">
        <v>0</v>
      </c>
      <c r="EP117" s="5">
        <v>0</v>
      </c>
      <c r="EQ117" s="5">
        <v>0</v>
      </c>
    </row>
    <row r="118" spans="1:147">
      <c r="A118" s="5"/>
      <c r="B118" s="5"/>
      <c r="C118" s="5"/>
      <c r="D118" s="5"/>
      <c r="E118" s="5">
        <v>3043100000000</v>
      </c>
      <c r="F118" s="5">
        <v>11820000000000</v>
      </c>
      <c r="G118" s="5">
        <v>3609700000000</v>
      </c>
      <c r="H118" s="5">
        <v>23007000000000</v>
      </c>
      <c r="I118" s="5">
        <v>8236500000000</v>
      </c>
      <c r="J118" s="5">
        <v>14500000000000</v>
      </c>
      <c r="K118" s="5">
        <v>4930000000000</v>
      </c>
      <c r="L118" s="5">
        <v>8821800000000</v>
      </c>
      <c r="M118" s="5">
        <v>2411000000000</v>
      </c>
      <c r="N118" s="5">
        <v>12821000000000</v>
      </c>
      <c r="O118" s="5">
        <v>2875800000000</v>
      </c>
      <c r="P118" s="5">
        <v>10783000000000</v>
      </c>
      <c r="Q118" s="5">
        <v>2718400000000</v>
      </c>
      <c r="R118" s="5">
        <v>22401000000000</v>
      </c>
      <c r="S118" s="5">
        <v>4684000000000</v>
      </c>
      <c r="T118" s="5">
        <v>15317000000000</v>
      </c>
      <c r="U118" s="5">
        <v>3190600000000</v>
      </c>
      <c r="V118" s="5">
        <v>18596000000000</v>
      </c>
      <c r="W118" s="5">
        <v>3224600000000</v>
      </c>
      <c r="X118" s="5">
        <v>19473000000000</v>
      </c>
      <c r="Y118" s="5">
        <v>3141100000000</v>
      </c>
      <c r="Z118" s="5">
        <v>18991000000000</v>
      </c>
      <c r="AA118" s="5">
        <v>3010100000000</v>
      </c>
      <c r="AB118" s="5">
        <v>24904000000000</v>
      </c>
      <c r="AC118" s="5">
        <v>3085600000000</v>
      </c>
      <c r="AD118" s="5">
        <v>24303000000000</v>
      </c>
      <c r="AE118" s="5">
        <v>3341700000000</v>
      </c>
      <c r="AF118" s="5">
        <v>26791000000000</v>
      </c>
      <c r="AG118" s="5">
        <v>2957700000000</v>
      </c>
      <c r="AH118" s="5">
        <v>24927000000000</v>
      </c>
      <c r="AI118" s="5">
        <v>2876600000000</v>
      </c>
      <c r="AJ118" s="5">
        <v>21861000000000</v>
      </c>
      <c r="AK118" s="5">
        <v>1995900000000</v>
      </c>
      <c r="AL118" s="5">
        <v>24262000000000</v>
      </c>
      <c r="AM118" s="5">
        <v>1999200000000</v>
      </c>
      <c r="AN118" s="5">
        <v>20987000000000</v>
      </c>
      <c r="AO118" s="5">
        <v>1941300000000</v>
      </c>
      <c r="AP118" s="5">
        <v>17241000000000</v>
      </c>
      <c r="AQ118" s="5">
        <v>1574100000000</v>
      </c>
      <c r="AR118" s="5">
        <v>15315000000000</v>
      </c>
      <c r="AS118" s="5">
        <v>1441200000000</v>
      </c>
      <c r="AT118" s="5">
        <v>9477100000000</v>
      </c>
      <c r="AU118" s="5">
        <v>961930000000</v>
      </c>
      <c r="AV118" s="5">
        <v>6640100000000</v>
      </c>
      <c r="AW118" s="5">
        <v>737710000000</v>
      </c>
      <c r="AX118" s="5">
        <v>2608500000000</v>
      </c>
      <c r="AY118" s="5">
        <v>302590000000</v>
      </c>
      <c r="AZ118" s="5">
        <v>1598200000000</v>
      </c>
      <c r="BA118" s="5">
        <v>241810000000</v>
      </c>
      <c r="BB118" s="5">
        <v>898510000000</v>
      </c>
      <c r="BC118" s="5">
        <v>151040000000</v>
      </c>
      <c r="BD118" s="5">
        <v>295720000000</v>
      </c>
      <c r="BE118" s="5">
        <v>66419000000</v>
      </c>
      <c r="BF118" s="5">
        <v>498470000000</v>
      </c>
      <c r="BG118" s="5">
        <v>110210000000</v>
      </c>
      <c r="BH118" s="5">
        <v>261130000000</v>
      </c>
      <c r="BI118" s="5">
        <v>60818000000</v>
      </c>
      <c r="BJ118" s="5">
        <v>95797000000</v>
      </c>
      <c r="BK118" s="5">
        <v>28461000000</v>
      </c>
      <c r="BL118" s="5">
        <v>48667000000</v>
      </c>
      <c r="BM118" s="5">
        <v>20294000000</v>
      </c>
      <c r="BN118" s="5">
        <v>28745000000</v>
      </c>
      <c r="BO118" s="5">
        <v>16123000000</v>
      </c>
      <c r="BP118" s="5">
        <v>39735000000</v>
      </c>
      <c r="BQ118" s="5">
        <v>18600000000</v>
      </c>
      <c r="BR118" s="5">
        <v>0</v>
      </c>
      <c r="BS118" s="5">
        <v>0</v>
      </c>
      <c r="BT118" s="5">
        <v>0</v>
      </c>
      <c r="BU118" s="5">
        <v>0</v>
      </c>
      <c r="BV118" s="5">
        <v>0</v>
      </c>
      <c r="BW118" s="5">
        <v>0</v>
      </c>
      <c r="BX118" s="5">
        <v>0</v>
      </c>
      <c r="BY118" s="5">
        <v>0</v>
      </c>
      <c r="BZ118" s="5">
        <v>0</v>
      </c>
      <c r="CA118" s="5">
        <v>0</v>
      </c>
      <c r="CB118" s="5">
        <v>0</v>
      </c>
      <c r="CC118" s="5">
        <v>0</v>
      </c>
      <c r="CD118" s="5">
        <v>0</v>
      </c>
      <c r="CE118" s="5">
        <v>0</v>
      </c>
      <c r="CF118" s="5">
        <v>0</v>
      </c>
      <c r="CG118" s="5">
        <v>0</v>
      </c>
      <c r="CH118" s="5">
        <v>0</v>
      </c>
      <c r="CI118" s="5">
        <v>0</v>
      </c>
      <c r="CJ118" s="5">
        <v>0</v>
      </c>
      <c r="CK118" s="5">
        <v>0</v>
      </c>
      <c r="CL118" s="5">
        <v>0</v>
      </c>
      <c r="CM118" s="5">
        <v>0</v>
      </c>
      <c r="CN118" s="5">
        <v>0</v>
      </c>
      <c r="CO118" s="5">
        <v>0</v>
      </c>
      <c r="CP118" s="5">
        <v>0</v>
      </c>
      <c r="CQ118" s="5">
        <v>0</v>
      </c>
      <c r="CR118" s="5">
        <v>0</v>
      </c>
      <c r="CS118" s="5">
        <v>0</v>
      </c>
      <c r="CT118" s="5">
        <v>0</v>
      </c>
      <c r="CU118" s="5">
        <v>0</v>
      </c>
      <c r="CV118" s="5">
        <v>0</v>
      </c>
      <c r="CW118" s="5">
        <v>0</v>
      </c>
      <c r="CX118" s="5">
        <v>0</v>
      </c>
      <c r="CY118" s="5">
        <v>0</v>
      </c>
      <c r="CZ118" s="5">
        <v>0</v>
      </c>
      <c r="DA118" s="5">
        <v>0</v>
      </c>
      <c r="DB118" s="5">
        <v>0</v>
      </c>
      <c r="DC118" s="5">
        <v>0</v>
      </c>
      <c r="DD118" s="5">
        <v>0</v>
      </c>
      <c r="DE118" s="5">
        <v>0</v>
      </c>
      <c r="DF118" s="5">
        <v>0</v>
      </c>
      <c r="DG118" s="5">
        <v>0</v>
      </c>
      <c r="DH118" s="5">
        <v>0</v>
      </c>
      <c r="DI118" s="5">
        <v>0</v>
      </c>
      <c r="DJ118" s="5">
        <v>0</v>
      </c>
      <c r="DK118" s="5">
        <v>0</v>
      </c>
      <c r="DL118" s="5">
        <v>0</v>
      </c>
      <c r="DM118" s="5">
        <v>0</v>
      </c>
      <c r="DN118" s="5">
        <v>0</v>
      </c>
      <c r="DO118" s="5">
        <v>0</v>
      </c>
      <c r="DP118" s="5">
        <v>0</v>
      </c>
      <c r="DQ118" s="5">
        <v>0</v>
      </c>
      <c r="DR118" s="5">
        <v>0</v>
      </c>
      <c r="DS118" s="5">
        <v>0</v>
      </c>
      <c r="DT118" s="5">
        <v>0</v>
      </c>
      <c r="DU118" s="5">
        <v>0</v>
      </c>
      <c r="DV118" s="5">
        <v>0</v>
      </c>
      <c r="DW118" s="5">
        <v>0</v>
      </c>
      <c r="DX118" s="5">
        <v>0</v>
      </c>
      <c r="DY118" s="5">
        <v>0</v>
      </c>
      <c r="DZ118" s="5">
        <v>0</v>
      </c>
      <c r="EA118" s="5">
        <v>0</v>
      </c>
      <c r="EB118" s="5">
        <v>0</v>
      </c>
      <c r="EC118" s="5">
        <v>0</v>
      </c>
      <c r="ED118" s="5">
        <v>0</v>
      </c>
      <c r="EE118" s="5">
        <v>0</v>
      </c>
      <c r="EF118" s="5">
        <v>0</v>
      </c>
      <c r="EG118" s="5">
        <v>0</v>
      </c>
      <c r="EH118" s="5">
        <v>0</v>
      </c>
      <c r="EI118" s="5">
        <v>0</v>
      </c>
      <c r="EJ118" s="5">
        <v>0</v>
      </c>
      <c r="EK118" s="5">
        <v>0</v>
      </c>
      <c r="EL118" s="5">
        <v>0</v>
      </c>
      <c r="EM118" s="5">
        <v>0</v>
      </c>
      <c r="EN118" s="5">
        <v>0</v>
      </c>
      <c r="EO118" s="5">
        <v>0</v>
      </c>
      <c r="EP118" s="5">
        <v>0</v>
      </c>
      <c r="EQ118" s="5">
        <v>0</v>
      </c>
    </row>
    <row r="119" spans="1:147">
      <c r="A119" s="5"/>
      <c r="B119" s="5"/>
      <c r="C119" s="5"/>
      <c r="D119" s="5"/>
      <c r="E119" s="5">
        <v>2642600000000</v>
      </c>
      <c r="F119" s="5">
        <v>7655100000000</v>
      </c>
      <c r="G119" s="5">
        <v>3385100000000</v>
      </c>
      <c r="H119" s="5">
        <v>8029500000000</v>
      </c>
      <c r="I119" s="5">
        <v>3853400000000</v>
      </c>
      <c r="J119" s="5">
        <v>7637400000000</v>
      </c>
      <c r="K119" s="5">
        <v>2281300000000</v>
      </c>
      <c r="L119" s="5">
        <v>13309000000000</v>
      </c>
      <c r="M119" s="5">
        <v>3493500000000</v>
      </c>
      <c r="N119" s="5">
        <v>11333000000000</v>
      </c>
      <c r="O119" s="5">
        <v>3605000000000</v>
      </c>
      <c r="P119" s="5">
        <v>19975000000000</v>
      </c>
      <c r="Q119" s="5">
        <v>6751700000000</v>
      </c>
      <c r="R119" s="5">
        <v>15469000000000</v>
      </c>
      <c r="S119" s="5">
        <v>3069100000000</v>
      </c>
      <c r="T119" s="5">
        <v>17720000000000</v>
      </c>
      <c r="U119" s="5">
        <v>7095100000000</v>
      </c>
      <c r="V119" s="5">
        <v>14862000000000</v>
      </c>
      <c r="W119" s="5">
        <v>2704800000000</v>
      </c>
      <c r="X119" s="5">
        <v>15931000000000</v>
      </c>
      <c r="Y119" s="5">
        <v>3460300000000</v>
      </c>
      <c r="Z119" s="5">
        <v>17190000000000</v>
      </c>
      <c r="AA119" s="5">
        <v>2619700000000</v>
      </c>
      <c r="AB119" s="5">
        <v>19085000000000</v>
      </c>
      <c r="AC119" s="5">
        <v>2610800000000</v>
      </c>
      <c r="AD119" s="5">
        <v>21681000000000</v>
      </c>
      <c r="AE119" s="5">
        <v>2272200000000</v>
      </c>
      <c r="AF119" s="5">
        <v>18574000000000</v>
      </c>
      <c r="AG119" s="5">
        <v>2082200000000</v>
      </c>
      <c r="AH119" s="5">
        <v>18566000000000</v>
      </c>
      <c r="AI119" s="5">
        <v>2127600000000</v>
      </c>
      <c r="AJ119" s="5">
        <v>19414000000000</v>
      </c>
      <c r="AK119" s="5">
        <v>1883100000000</v>
      </c>
      <c r="AL119" s="5">
        <v>19261000000000</v>
      </c>
      <c r="AM119" s="5">
        <v>1770100000000</v>
      </c>
      <c r="AN119" s="5">
        <v>12834000000000</v>
      </c>
      <c r="AO119" s="5">
        <v>1140900000000</v>
      </c>
      <c r="AP119" s="5">
        <v>11895000000000</v>
      </c>
      <c r="AQ119" s="5">
        <v>1251400000000</v>
      </c>
      <c r="AR119" s="5">
        <v>11497000000000</v>
      </c>
      <c r="AS119" s="5">
        <v>1018600000000</v>
      </c>
      <c r="AT119" s="5">
        <v>6308700000000</v>
      </c>
      <c r="AU119" s="5">
        <v>692690000000</v>
      </c>
      <c r="AV119" s="5">
        <v>3315700000000</v>
      </c>
      <c r="AW119" s="5">
        <v>392580000000</v>
      </c>
      <c r="AX119" s="5">
        <v>2561700000000</v>
      </c>
      <c r="AY119" s="5">
        <v>348140000000</v>
      </c>
      <c r="AZ119" s="5">
        <v>712390000000</v>
      </c>
      <c r="BA119" s="5">
        <v>123810000000</v>
      </c>
      <c r="BB119" s="5">
        <v>546060000000</v>
      </c>
      <c r="BC119" s="5">
        <v>100200000000</v>
      </c>
      <c r="BD119" s="5">
        <v>366230000000</v>
      </c>
      <c r="BE119" s="5">
        <v>80315000000</v>
      </c>
      <c r="BF119" s="5">
        <v>237120000000</v>
      </c>
      <c r="BG119" s="5">
        <v>55888000000</v>
      </c>
      <c r="BH119" s="5">
        <v>221930000000</v>
      </c>
      <c r="BI119" s="5">
        <v>50578000000</v>
      </c>
      <c r="BJ119" s="5">
        <v>86899000000</v>
      </c>
      <c r="BK119" s="5">
        <v>25965000000</v>
      </c>
      <c r="BL119" s="5">
        <v>58174000000</v>
      </c>
      <c r="BM119" s="5">
        <v>19593000000</v>
      </c>
      <c r="BN119" s="5">
        <v>24856000000</v>
      </c>
      <c r="BO119" s="5">
        <v>12085000000</v>
      </c>
      <c r="BP119" s="5">
        <v>4630300000</v>
      </c>
      <c r="BQ119" s="5">
        <v>3573200000</v>
      </c>
      <c r="BR119" s="5">
        <v>0</v>
      </c>
      <c r="BS119" s="5">
        <v>0</v>
      </c>
      <c r="BT119" s="5">
        <v>0</v>
      </c>
      <c r="BU119" s="5">
        <v>0</v>
      </c>
      <c r="BV119" s="5">
        <v>0</v>
      </c>
      <c r="BW119" s="5">
        <v>0</v>
      </c>
      <c r="BX119" s="5">
        <v>0</v>
      </c>
      <c r="BY119" s="5">
        <v>0</v>
      </c>
      <c r="BZ119" s="5">
        <v>0</v>
      </c>
      <c r="CA119" s="5">
        <v>0</v>
      </c>
      <c r="CB119" s="5">
        <v>0</v>
      </c>
      <c r="CC119" s="5">
        <v>0</v>
      </c>
      <c r="CD119" s="5">
        <v>0</v>
      </c>
      <c r="CE119" s="5">
        <v>0</v>
      </c>
      <c r="CF119" s="5">
        <v>0</v>
      </c>
      <c r="CG119" s="5">
        <v>0</v>
      </c>
      <c r="CH119" s="5">
        <v>0</v>
      </c>
      <c r="CI119" s="5">
        <v>0</v>
      </c>
      <c r="CJ119" s="5">
        <v>0</v>
      </c>
      <c r="CK119" s="5">
        <v>0</v>
      </c>
      <c r="CL119" s="5">
        <v>0</v>
      </c>
      <c r="CM119" s="5">
        <v>0</v>
      </c>
      <c r="CN119" s="5">
        <v>0</v>
      </c>
      <c r="CO119" s="5">
        <v>0</v>
      </c>
      <c r="CP119" s="5">
        <v>0</v>
      </c>
      <c r="CQ119" s="5">
        <v>0</v>
      </c>
      <c r="CR119" s="5">
        <v>0</v>
      </c>
      <c r="CS119" s="5">
        <v>0</v>
      </c>
      <c r="CT119" s="5">
        <v>0</v>
      </c>
      <c r="CU119" s="5">
        <v>0</v>
      </c>
      <c r="CV119" s="5">
        <v>0</v>
      </c>
      <c r="CW119" s="5">
        <v>0</v>
      </c>
      <c r="CX119" s="5">
        <v>0</v>
      </c>
      <c r="CY119" s="5">
        <v>0</v>
      </c>
      <c r="CZ119" s="5">
        <v>0</v>
      </c>
      <c r="DA119" s="5">
        <v>0</v>
      </c>
      <c r="DB119" s="5">
        <v>0</v>
      </c>
      <c r="DC119" s="5">
        <v>0</v>
      </c>
      <c r="DD119" s="5">
        <v>0</v>
      </c>
      <c r="DE119" s="5">
        <v>0</v>
      </c>
      <c r="DF119" s="5">
        <v>0</v>
      </c>
      <c r="DG119" s="5">
        <v>0</v>
      </c>
      <c r="DH119" s="5">
        <v>0</v>
      </c>
      <c r="DI119" s="5">
        <v>0</v>
      </c>
      <c r="DJ119" s="5">
        <v>0</v>
      </c>
      <c r="DK119" s="5">
        <v>0</v>
      </c>
      <c r="DL119" s="5">
        <v>0</v>
      </c>
      <c r="DM119" s="5">
        <v>0</v>
      </c>
      <c r="DN119" s="5">
        <v>0</v>
      </c>
      <c r="DO119" s="5">
        <v>0</v>
      </c>
      <c r="DP119" s="5">
        <v>0</v>
      </c>
      <c r="DQ119" s="5">
        <v>0</v>
      </c>
      <c r="DR119" s="5">
        <v>0</v>
      </c>
      <c r="DS119" s="5">
        <v>0</v>
      </c>
      <c r="DT119" s="5">
        <v>0</v>
      </c>
      <c r="DU119" s="5">
        <v>0</v>
      </c>
      <c r="DV119" s="5">
        <v>0</v>
      </c>
      <c r="DW119" s="5">
        <v>0</v>
      </c>
      <c r="DX119" s="5">
        <v>0</v>
      </c>
      <c r="DY119" s="5">
        <v>0</v>
      </c>
      <c r="DZ119" s="5">
        <v>0</v>
      </c>
      <c r="EA119" s="5">
        <v>0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</row>
    <row r="120" spans="1:147">
      <c r="A120" s="5"/>
      <c r="B120" s="5"/>
      <c r="C120" s="5"/>
      <c r="D120" s="5"/>
      <c r="E120" s="5">
        <v>2856300000000</v>
      </c>
      <c r="F120" s="5">
        <v>4712400000000</v>
      </c>
      <c r="G120" s="5">
        <v>1645600000000</v>
      </c>
      <c r="H120" s="5">
        <v>7000700000000</v>
      </c>
      <c r="I120" s="5">
        <v>2959900000000</v>
      </c>
      <c r="J120" s="5">
        <v>6946100000000</v>
      </c>
      <c r="K120" s="5">
        <v>2334600000000</v>
      </c>
      <c r="L120" s="5">
        <v>3162500000000</v>
      </c>
      <c r="M120" s="5">
        <v>1475600000000</v>
      </c>
      <c r="N120" s="5">
        <v>4657300000000</v>
      </c>
      <c r="O120" s="5">
        <v>2167100000000</v>
      </c>
      <c r="P120" s="5">
        <v>8508400000000</v>
      </c>
      <c r="Q120" s="5">
        <v>2622300000000</v>
      </c>
      <c r="R120" s="5">
        <v>10474000000000</v>
      </c>
      <c r="S120" s="5">
        <v>2793400000000</v>
      </c>
      <c r="T120" s="5">
        <v>8708400000000</v>
      </c>
      <c r="U120" s="5">
        <v>2213700000000</v>
      </c>
      <c r="V120" s="5">
        <v>9547200000000</v>
      </c>
      <c r="W120" s="5">
        <v>2025000000000</v>
      </c>
      <c r="X120" s="5">
        <v>12476000000000</v>
      </c>
      <c r="Y120" s="5">
        <v>2532600000000</v>
      </c>
      <c r="Z120" s="5">
        <v>11605000000000</v>
      </c>
      <c r="AA120" s="5">
        <v>2044900000000</v>
      </c>
      <c r="AB120" s="5">
        <v>11547000000000</v>
      </c>
      <c r="AC120" s="5">
        <v>1742400000000</v>
      </c>
      <c r="AD120" s="5">
        <v>16082000000000</v>
      </c>
      <c r="AE120" s="5">
        <v>2489500000000</v>
      </c>
      <c r="AF120" s="5">
        <v>14428000000000</v>
      </c>
      <c r="AG120" s="5">
        <v>1551000000000</v>
      </c>
      <c r="AH120" s="5">
        <v>11794000000000</v>
      </c>
      <c r="AI120" s="5">
        <v>1280900000000</v>
      </c>
      <c r="AJ120" s="5">
        <v>16279000000000</v>
      </c>
      <c r="AK120" s="5">
        <v>1800400000000</v>
      </c>
      <c r="AL120" s="5">
        <v>14680000000000</v>
      </c>
      <c r="AM120" s="5">
        <v>1372600000000</v>
      </c>
      <c r="AN120" s="5">
        <v>9537800000000</v>
      </c>
      <c r="AO120" s="5">
        <v>929930000000</v>
      </c>
      <c r="AP120" s="5">
        <v>9183500000000</v>
      </c>
      <c r="AQ120" s="5">
        <v>922940000000</v>
      </c>
      <c r="AR120" s="5">
        <v>8785000000000</v>
      </c>
      <c r="AS120" s="5">
        <v>974260000000</v>
      </c>
      <c r="AT120" s="5">
        <v>5945100000000</v>
      </c>
      <c r="AU120" s="5">
        <v>611160000000</v>
      </c>
      <c r="AV120" s="5">
        <v>3373800000000</v>
      </c>
      <c r="AW120" s="5">
        <v>454790000000</v>
      </c>
      <c r="AX120" s="5">
        <v>1788700000000</v>
      </c>
      <c r="AY120" s="5">
        <v>239150000000</v>
      </c>
      <c r="AZ120" s="5">
        <v>973800000000</v>
      </c>
      <c r="BA120" s="5">
        <v>148120000000</v>
      </c>
      <c r="BB120" s="5">
        <v>589050000000</v>
      </c>
      <c r="BC120" s="5">
        <v>104440000000</v>
      </c>
      <c r="BD120" s="5">
        <v>240580000000</v>
      </c>
      <c r="BE120" s="5">
        <v>59664000000</v>
      </c>
      <c r="BF120" s="5">
        <v>170470000000</v>
      </c>
      <c r="BG120" s="5">
        <v>47919000000</v>
      </c>
      <c r="BH120" s="5">
        <v>111780000000</v>
      </c>
      <c r="BI120" s="5">
        <v>28358000000</v>
      </c>
      <c r="BJ120" s="5">
        <v>108250000000</v>
      </c>
      <c r="BK120" s="5">
        <v>29183000000</v>
      </c>
      <c r="BL120" s="5">
        <v>37724000000</v>
      </c>
      <c r="BM120" s="5">
        <v>15331000000</v>
      </c>
      <c r="BN120" s="5">
        <v>8341000000</v>
      </c>
      <c r="BO120" s="5">
        <v>5795300000</v>
      </c>
      <c r="BP120" s="5">
        <v>745910000</v>
      </c>
      <c r="BQ120" s="5">
        <v>550860000</v>
      </c>
      <c r="BR120" s="5">
        <v>1920200000</v>
      </c>
      <c r="BS120" s="5">
        <v>1920200000</v>
      </c>
      <c r="BT120" s="5">
        <v>0</v>
      </c>
      <c r="BU120" s="5">
        <v>0</v>
      </c>
      <c r="BV120" s="5">
        <v>0</v>
      </c>
      <c r="BW120" s="5">
        <v>0</v>
      </c>
      <c r="BX120" s="5">
        <v>0</v>
      </c>
      <c r="BY120" s="5">
        <v>0</v>
      </c>
      <c r="BZ120" s="5">
        <v>0</v>
      </c>
      <c r="CA120" s="5">
        <v>0</v>
      </c>
      <c r="CB120" s="5">
        <v>0</v>
      </c>
      <c r="CC120" s="5">
        <v>0</v>
      </c>
      <c r="CD120" s="5">
        <v>0</v>
      </c>
      <c r="CE120" s="5">
        <v>0</v>
      </c>
      <c r="CF120" s="5">
        <v>0</v>
      </c>
      <c r="CG120" s="5">
        <v>0</v>
      </c>
      <c r="CH120" s="5">
        <v>0</v>
      </c>
      <c r="CI120" s="5">
        <v>0</v>
      </c>
      <c r="CJ120" s="5">
        <v>0</v>
      </c>
      <c r="CK120" s="5">
        <v>0</v>
      </c>
      <c r="CL120" s="5">
        <v>0</v>
      </c>
      <c r="CM120" s="5">
        <v>0</v>
      </c>
      <c r="CN120" s="5">
        <v>0</v>
      </c>
      <c r="CO120" s="5">
        <v>0</v>
      </c>
      <c r="CP120" s="5">
        <v>0</v>
      </c>
      <c r="CQ120" s="5">
        <v>0</v>
      </c>
      <c r="CR120" s="5">
        <v>0</v>
      </c>
      <c r="CS120" s="5">
        <v>0</v>
      </c>
      <c r="CT120" s="5">
        <v>0</v>
      </c>
      <c r="CU120" s="5">
        <v>0</v>
      </c>
      <c r="CV120" s="5">
        <v>0</v>
      </c>
      <c r="CW120" s="5">
        <v>0</v>
      </c>
      <c r="CX120" s="5">
        <v>0</v>
      </c>
      <c r="CY120" s="5">
        <v>0</v>
      </c>
      <c r="CZ120" s="5">
        <v>0</v>
      </c>
      <c r="DA120" s="5">
        <v>0</v>
      </c>
      <c r="DB120" s="5">
        <v>0</v>
      </c>
      <c r="DC120" s="5">
        <v>0</v>
      </c>
      <c r="DD120" s="5">
        <v>0</v>
      </c>
      <c r="DE120" s="5">
        <v>0</v>
      </c>
      <c r="DF120" s="5">
        <v>0</v>
      </c>
      <c r="DG120" s="5">
        <v>0</v>
      </c>
      <c r="DH120" s="5">
        <v>0</v>
      </c>
      <c r="DI120" s="5">
        <v>0</v>
      </c>
      <c r="DJ120" s="5">
        <v>0</v>
      </c>
      <c r="DK120" s="5">
        <v>0</v>
      </c>
      <c r="DL120" s="5">
        <v>0</v>
      </c>
      <c r="DM120" s="5">
        <v>0</v>
      </c>
      <c r="DN120" s="5">
        <v>0</v>
      </c>
      <c r="DO120" s="5">
        <v>0</v>
      </c>
      <c r="DP120" s="5">
        <v>0</v>
      </c>
      <c r="DQ120" s="5">
        <v>0</v>
      </c>
      <c r="DR120" s="5">
        <v>0</v>
      </c>
      <c r="DS120" s="5">
        <v>0</v>
      </c>
      <c r="DT120" s="5">
        <v>0</v>
      </c>
      <c r="DU120" s="5">
        <v>0</v>
      </c>
      <c r="DV120" s="5">
        <v>0</v>
      </c>
      <c r="DW120" s="5">
        <v>0</v>
      </c>
      <c r="DX120" s="5">
        <v>0</v>
      </c>
      <c r="DY120" s="5">
        <v>0</v>
      </c>
      <c r="DZ120" s="5">
        <v>0</v>
      </c>
      <c r="EA120" s="5">
        <v>0</v>
      </c>
      <c r="EB120" s="5">
        <v>0</v>
      </c>
      <c r="EC120" s="5">
        <v>0</v>
      </c>
      <c r="ED120" s="5">
        <v>0</v>
      </c>
      <c r="EE120" s="5">
        <v>0</v>
      </c>
      <c r="EF120" s="5">
        <v>0</v>
      </c>
      <c r="EG120" s="5">
        <v>0</v>
      </c>
      <c r="EH120" s="5">
        <v>0</v>
      </c>
      <c r="EI120" s="5">
        <v>0</v>
      </c>
      <c r="EJ120" s="5">
        <v>0</v>
      </c>
      <c r="EK120" s="5">
        <v>0</v>
      </c>
      <c r="EL120" s="5">
        <v>0</v>
      </c>
      <c r="EM120" s="5">
        <v>0</v>
      </c>
      <c r="EN120" s="5">
        <v>0</v>
      </c>
      <c r="EO120" s="5">
        <v>0</v>
      </c>
      <c r="EP120" s="5">
        <v>0</v>
      </c>
      <c r="EQ120" s="5">
        <v>0</v>
      </c>
    </row>
    <row r="121" spans="1:147">
      <c r="A121" s="5"/>
      <c r="B121" s="5"/>
      <c r="C121" s="5"/>
      <c r="D121" s="5"/>
      <c r="E121" s="5">
        <v>900790000000</v>
      </c>
      <c r="F121" s="5">
        <v>5153300000000</v>
      </c>
      <c r="G121" s="5">
        <v>2870900000000</v>
      </c>
      <c r="H121" s="5">
        <v>1605200000000</v>
      </c>
      <c r="I121" s="5">
        <v>739200000000</v>
      </c>
      <c r="J121" s="5">
        <v>7038800000000</v>
      </c>
      <c r="K121" s="5">
        <v>3243500000000</v>
      </c>
      <c r="L121" s="5">
        <v>4787900000000</v>
      </c>
      <c r="M121" s="5">
        <v>1919500000000</v>
      </c>
      <c r="N121" s="5">
        <v>4087500000000</v>
      </c>
      <c r="O121" s="5">
        <v>1875000000000</v>
      </c>
      <c r="P121" s="5">
        <v>2971900000000</v>
      </c>
      <c r="Q121" s="5">
        <v>998860000000</v>
      </c>
      <c r="R121" s="5">
        <v>8032700000000</v>
      </c>
      <c r="S121" s="5">
        <v>2913500000000</v>
      </c>
      <c r="T121" s="5">
        <v>7046600000000</v>
      </c>
      <c r="U121" s="5">
        <v>1877200000000</v>
      </c>
      <c r="V121" s="5">
        <v>9189800000000</v>
      </c>
      <c r="W121" s="5">
        <v>1995100000000</v>
      </c>
      <c r="X121" s="5">
        <v>6371700000000</v>
      </c>
      <c r="Y121" s="5">
        <v>1504400000000</v>
      </c>
      <c r="Z121" s="5">
        <v>10134000000000</v>
      </c>
      <c r="AA121" s="5">
        <v>2395600000000</v>
      </c>
      <c r="AB121" s="5">
        <v>7079700000000</v>
      </c>
      <c r="AC121" s="5">
        <v>1083200000000</v>
      </c>
      <c r="AD121" s="5">
        <v>10357000000000</v>
      </c>
      <c r="AE121" s="5">
        <v>1687100000000</v>
      </c>
      <c r="AF121" s="5">
        <v>10582000000000</v>
      </c>
      <c r="AG121" s="5">
        <v>1501600000000</v>
      </c>
      <c r="AH121" s="5">
        <v>9893100000000</v>
      </c>
      <c r="AI121" s="5">
        <v>1338500000000</v>
      </c>
      <c r="AJ121" s="5">
        <v>11151000000000</v>
      </c>
      <c r="AK121" s="5">
        <v>1182000000000</v>
      </c>
      <c r="AL121" s="5">
        <v>11070000000000</v>
      </c>
      <c r="AM121" s="5">
        <v>1237600000000</v>
      </c>
      <c r="AN121" s="5">
        <v>9670100000000</v>
      </c>
      <c r="AO121" s="5">
        <v>1097600000000</v>
      </c>
      <c r="AP121" s="5">
        <v>7500400000000</v>
      </c>
      <c r="AQ121" s="5">
        <v>731290000000</v>
      </c>
      <c r="AR121" s="5">
        <v>6665000000000</v>
      </c>
      <c r="AS121" s="5">
        <v>681830000000</v>
      </c>
      <c r="AT121" s="5">
        <v>4899700000000</v>
      </c>
      <c r="AU121" s="5">
        <v>542390000000</v>
      </c>
      <c r="AV121" s="5">
        <v>2625100000000</v>
      </c>
      <c r="AW121" s="5">
        <v>337850000000</v>
      </c>
      <c r="AX121" s="5">
        <v>963910000000</v>
      </c>
      <c r="AY121" s="5">
        <v>155090000000</v>
      </c>
      <c r="AZ121" s="5">
        <v>446480000000</v>
      </c>
      <c r="BA121" s="5">
        <v>72598000000</v>
      </c>
      <c r="BB121" s="5">
        <v>489380000000</v>
      </c>
      <c r="BC121" s="5">
        <v>85102000000</v>
      </c>
      <c r="BD121" s="5">
        <v>206910000000</v>
      </c>
      <c r="BE121" s="5">
        <v>54273000000</v>
      </c>
      <c r="BF121" s="5">
        <v>116880000000</v>
      </c>
      <c r="BG121" s="5">
        <v>26603000000</v>
      </c>
      <c r="BH121" s="5">
        <v>137100000000</v>
      </c>
      <c r="BI121" s="5">
        <v>34987000000</v>
      </c>
      <c r="BJ121" s="5">
        <v>47325000000</v>
      </c>
      <c r="BK121" s="5">
        <v>18040000000</v>
      </c>
      <c r="BL121" s="5">
        <v>43188000000</v>
      </c>
      <c r="BM121" s="5">
        <v>16390000000</v>
      </c>
      <c r="BN121" s="5">
        <v>5454400000</v>
      </c>
      <c r="BO121" s="5">
        <v>2763200000</v>
      </c>
      <c r="BP121" s="5">
        <v>192960000</v>
      </c>
      <c r="BQ121" s="5">
        <v>192960000</v>
      </c>
      <c r="BR121" s="5">
        <v>153240000</v>
      </c>
      <c r="BS121" s="5">
        <v>153240000</v>
      </c>
      <c r="BT121" s="5">
        <v>0</v>
      </c>
      <c r="BU121" s="5">
        <v>0</v>
      </c>
      <c r="BV121" s="5">
        <v>0</v>
      </c>
      <c r="BW121" s="5">
        <v>0</v>
      </c>
      <c r="BX121" s="5">
        <v>0</v>
      </c>
      <c r="BY121" s="5">
        <v>0</v>
      </c>
      <c r="BZ121" s="5">
        <v>0</v>
      </c>
      <c r="CA121" s="5">
        <v>0</v>
      </c>
      <c r="CB121" s="5">
        <v>0</v>
      </c>
      <c r="CC121" s="5">
        <v>0</v>
      </c>
      <c r="CD121" s="5">
        <v>0</v>
      </c>
      <c r="CE121" s="5">
        <v>0</v>
      </c>
      <c r="CF121" s="5">
        <v>0</v>
      </c>
      <c r="CG121" s="5">
        <v>0</v>
      </c>
      <c r="CH121" s="5">
        <v>0</v>
      </c>
      <c r="CI121" s="5">
        <v>0</v>
      </c>
      <c r="CJ121" s="5">
        <v>0</v>
      </c>
      <c r="CK121" s="5">
        <v>0</v>
      </c>
      <c r="CL121" s="5">
        <v>0</v>
      </c>
      <c r="CM121" s="5">
        <v>0</v>
      </c>
      <c r="CN121" s="5">
        <v>0</v>
      </c>
      <c r="CO121" s="5">
        <v>0</v>
      </c>
      <c r="CP121" s="5">
        <v>0</v>
      </c>
      <c r="CQ121" s="5">
        <v>0</v>
      </c>
      <c r="CR121" s="5">
        <v>0</v>
      </c>
      <c r="CS121" s="5">
        <v>0</v>
      </c>
      <c r="CT121" s="5">
        <v>0</v>
      </c>
      <c r="CU121" s="5">
        <v>0</v>
      </c>
      <c r="CV121" s="5">
        <v>0</v>
      </c>
      <c r="CW121" s="5">
        <v>0</v>
      </c>
      <c r="CX121" s="5">
        <v>0</v>
      </c>
      <c r="CY121" s="5">
        <v>0</v>
      </c>
      <c r="CZ121" s="5">
        <v>0</v>
      </c>
      <c r="DA121" s="5">
        <v>0</v>
      </c>
      <c r="DB121" s="5">
        <v>0</v>
      </c>
      <c r="DC121" s="5">
        <v>0</v>
      </c>
      <c r="DD121" s="5">
        <v>0</v>
      </c>
      <c r="DE121" s="5">
        <v>0</v>
      </c>
      <c r="DF121" s="5">
        <v>0</v>
      </c>
      <c r="DG121" s="5">
        <v>0</v>
      </c>
      <c r="DH121" s="5">
        <v>0</v>
      </c>
      <c r="DI121" s="5">
        <v>0</v>
      </c>
      <c r="DJ121" s="5">
        <v>0</v>
      </c>
      <c r="DK121" s="5">
        <v>0</v>
      </c>
      <c r="DL121" s="5">
        <v>0</v>
      </c>
      <c r="DM121" s="5">
        <v>0</v>
      </c>
      <c r="DN121" s="5">
        <v>0</v>
      </c>
      <c r="DO121" s="5">
        <v>0</v>
      </c>
      <c r="DP121" s="5">
        <v>0</v>
      </c>
      <c r="DQ121" s="5">
        <v>0</v>
      </c>
      <c r="DR121" s="5">
        <v>0</v>
      </c>
      <c r="DS121" s="5">
        <v>0</v>
      </c>
      <c r="DT121" s="5">
        <v>0</v>
      </c>
      <c r="DU121" s="5">
        <v>0</v>
      </c>
      <c r="DV121" s="5">
        <v>0</v>
      </c>
      <c r="DW121" s="5">
        <v>0</v>
      </c>
      <c r="DX121" s="5">
        <v>0</v>
      </c>
      <c r="DY121" s="5">
        <v>0</v>
      </c>
      <c r="DZ121" s="5">
        <v>0</v>
      </c>
      <c r="EA121" s="5">
        <v>0</v>
      </c>
      <c r="EB121" s="5">
        <v>0</v>
      </c>
      <c r="EC121" s="5">
        <v>0</v>
      </c>
      <c r="ED121" s="5">
        <v>0</v>
      </c>
      <c r="EE121" s="5">
        <v>0</v>
      </c>
      <c r="EF121" s="5">
        <v>0</v>
      </c>
      <c r="EG121" s="5">
        <v>0</v>
      </c>
      <c r="EH121" s="5">
        <v>0</v>
      </c>
      <c r="EI121" s="5">
        <v>0</v>
      </c>
      <c r="EJ121" s="5">
        <v>0</v>
      </c>
      <c r="EK121" s="5">
        <v>0</v>
      </c>
      <c r="EL121" s="5">
        <v>0</v>
      </c>
      <c r="EM121" s="5">
        <v>0</v>
      </c>
      <c r="EN121" s="5">
        <v>0</v>
      </c>
      <c r="EO121" s="5">
        <v>0</v>
      </c>
      <c r="EP121" s="5">
        <v>0</v>
      </c>
      <c r="EQ121" s="5">
        <v>0</v>
      </c>
    </row>
    <row r="122" spans="1:147">
      <c r="A122" s="5"/>
      <c r="B122" s="5"/>
      <c r="C122" s="5"/>
      <c r="D122" s="5"/>
      <c r="E122" s="5">
        <v>391760000000</v>
      </c>
      <c r="F122" s="5">
        <v>649440000000</v>
      </c>
      <c r="G122" s="5">
        <v>374980000000</v>
      </c>
      <c r="H122" s="5">
        <v>344020000000</v>
      </c>
      <c r="I122" s="5">
        <v>243260000000</v>
      </c>
      <c r="J122" s="5">
        <v>274040000000</v>
      </c>
      <c r="K122" s="5">
        <v>193770000000</v>
      </c>
      <c r="L122" s="5">
        <v>5199300000000</v>
      </c>
      <c r="M122" s="5">
        <v>4525000000000</v>
      </c>
      <c r="N122" s="5">
        <v>2395400000000</v>
      </c>
      <c r="O122" s="5">
        <v>1017100000000</v>
      </c>
      <c r="P122" s="5">
        <v>3487500000000</v>
      </c>
      <c r="Q122" s="5">
        <v>1346500000000</v>
      </c>
      <c r="R122" s="5">
        <v>3979100000000</v>
      </c>
      <c r="S122" s="5">
        <v>1147600000000</v>
      </c>
      <c r="T122" s="5">
        <v>2949600000000</v>
      </c>
      <c r="U122" s="5">
        <v>899050000000</v>
      </c>
      <c r="V122" s="5">
        <v>6010600000000</v>
      </c>
      <c r="W122" s="5">
        <v>1490000000000</v>
      </c>
      <c r="X122" s="5">
        <v>7832100000000</v>
      </c>
      <c r="Y122" s="5">
        <v>1420000000000</v>
      </c>
      <c r="Z122" s="5">
        <v>7763200000000</v>
      </c>
      <c r="AA122" s="5">
        <v>1457900000000</v>
      </c>
      <c r="AB122" s="5">
        <v>7641400000000</v>
      </c>
      <c r="AC122" s="5">
        <v>1280700000000</v>
      </c>
      <c r="AD122" s="5">
        <v>7363200000000</v>
      </c>
      <c r="AE122" s="5">
        <v>1053700000000</v>
      </c>
      <c r="AF122" s="5">
        <v>5651800000000</v>
      </c>
      <c r="AG122" s="5">
        <v>907120000000</v>
      </c>
      <c r="AH122" s="5">
        <v>6949900000000</v>
      </c>
      <c r="AI122" s="5">
        <v>876380000000</v>
      </c>
      <c r="AJ122" s="5">
        <v>7841200000000</v>
      </c>
      <c r="AK122" s="5">
        <v>939370000000</v>
      </c>
      <c r="AL122" s="5">
        <v>7586700000000</v>
      </c>
      <c r="AM122" s="5">
        <v>905850000000</v>
      </c>
      <c r="AN122" s="5">
        <v>6827800000000</v>
      </c>
      <c r="AO122" s="5">
        <v>798850000000</v>
      </c>
      <c r="AP122" s="5">
        <v>5690600000000</v>
      </c>
      <c r="AQ122" s="5">
        <v>690840000000</v>
      </c>
      <c r="AR122" s="5">
        <v>3783500000000</v>
      </c>
      <c r="AS122" s="5">
        <v>421100000000</v>
      </c>
      <c r="AT122" s="5">
        <v>3399100000000</v>
      </c>
      <c r="AU122" s="5">
        <v>493890000000</v>
      </c>
      <c r="AV122" s="5">
        <v>1454200000000</v>
      </c>
      <c r="AW122" s="5">
        <v>184830000000</v>
      </c>
      <c r="AX122" s="5">
        <v>820500000000</v>
      </c>
      <c r="AY122" s="5">
        <v>140060000000</v>
      </c>
      <c r="AZ122" s="5">
        <v>513110000000</v>
      </c>
      <c r="BA122" s="5">
        <v>101290000000</v>
      </c>
      <c r="BB122" s="5">
        <v>311240000000</v>
      </c>
      <c r="BC122" s="5">
        <v>89763000000</v>
      </c>
      <c r="BD122" s="5">
        <v>113850000000</v>
      </c>
      <c r="BE122" s="5">
        <v>26481000000</v>
      </c>
      <c r="BF122" s="5">
        <v>96318000000</v>
      </c>
      <c r="BG122" s="5">
        <v>29945000000</v>
      </c>
      <c r="BH122" s="5">
        <v>68604000000</v>
      </c>
      <c r="BI122" s="5">
        <v>23188000000</v>
      </c>
      <c r="BJ122" s="5">
        <v>101070000000</v>
      </c>
      <c r="BK122" s="5">
        <v>42771000000</v>
      </c>
      <c r="BL122" s="5">
        <v>25963000000</v>
      </c>
      <c r="BM122" s="5">
        <v>9954300000</v>
      </c>
      <c r="BN122" s="5">
        <v>11732000000</v>
      </c>
      <c r="BO122" s="5">
        <v>5530500000</v>
      </c>
      <c r="BP122" s="5">
        <v>8205700000</v>
      </c>
      <c r="BQ122" s="5">
        <v>4648500000</v>
      </c>
      <c r="BR122" s="5">
        <v>0</v>
      </c>
      <c r="BS122" s="5">
        <v>0</v>
      </c>
      <c r="BT122" s="5">
        <v>0</v>
      </c>
      <c r="BU122" s="5">
        <v>0</v>
      </c>
      <c r="BV122" s="5">
        <v>0</v>
      </c>
      <c r="BW122" s="5">
        <v>0</v>
      </c>
      <c r="BX122" s="5">
        <v>0</v>
      </c>
      <c r="BY122" s="5">
        <v>0</v>
      </c>
      <c r="BZ122" s="5">
        <v>0</v>
      </c>
      <c r="CA122" s="5">
        <v>0</v>
      </c>
      <c r="CB122" s="5">
        <v>0</v>
      </c>
      <c r="CC122" s="5">
        <v>0</v>
      </c>
      <c r="CD122" s="5">
        <v>0</v>
      </c>
      <c r="CE122" s="5">
        <v>0</v>
      </c>
      <c r="CF122" s="5">
        <v>0</v>
      </c>
      <c r="CG122" s="5">
        <v>0</v>
      </c>
      <c r="CH122" s="5">
        <v>0</v>
      </c>
      <c r="CI122" s="5">
        <v>0</v>
      </c>
      <c r="CJ122" s="5">
        <v>0</v>
      </c>
      <c r="CK122" s="5">
        <v>0</v>
      </c>
      <c r="CL122" s="5">
        <v>0</v>
      </c>
      <c r="CM122" s="5">
        <v>0</v>
      </c>
      <c r="CN122" s="5">
        <v>0</v>
      </c>
      <c r="CO122" s="5">
        <v>0</v>
      </c>
      <c r="CP122" s="5">
        <v>0</v>
      </c>
      <c r="CQ122" s="5">
        <v>0</v>
      </c>
      <c r="CR122" s="5">
        <v>0</v>
      </c>
      <c r="CS122" s="5">
        <v>0</v>
      </c>
      <c r="CT122" s="5">
        <v>0</v>
      </c>
      <c r="CU122" s="5">
        <v>0</v>
      </c>
      <c r="CV122" s="5">
        <v>0</v>
      </c>
      <c r="CW122" s="5">
        <v>0</v>
      </c>
      <c r="CX122" s="5">
        <v>0</v>
      </c>
      <c r="CY122" s="5">
        <v>0</v>
      </c>
      <c r="CZ122" s="5">
        <v>0</v>
      </c>
      <c r="DA122" s="5">
        <v>0</v>
      </c>
      <c r="DB122" s="5">
        <v>0</v>
      </c>
      <c r="DC122" s="5">
        <v>0</v>
      </c>
      <c r="DD122" s="5">
        <v>0</v>
      </c>
      <c r="DE122" s="5">
        <v>0</v>
      </c>
      <c r="DF122" s="5">
        <v>0</v>
      </c>
      <c r="DG122" s="5">
        <v>0</v>
      </c>
      <c r="DH122" s="5">
        <v>0</v>
      </c>
      <c r="DI122" s="5">
        <v>0</v>
      </c>
      <c r="DJ122" s="5">
        <v>0</v>
      </c>
      <c r="DK122" s="5">
        <v>0</v>
      </c>
      <c r="DL122" s="5">
        <v>0</v>
      </c>
      <c r="DM122" s="5">
        <v>0</v>
      </c>
      <c r="DN122" s="5">
        <v>0</v>
      </c>
      <c r="DO122" s="5">
        <v>0</v>
      </c>
      <c r="DP122" s="5">
        <v>0</v>
      </c>
      <c r="DQ122" s="5">
        <v>0</v>
      </c>
      <c r="DR122" s="5">
        <v>0</v>
      </c>
      <c r="DS122" s="5">
        <v>0</v>
      </c>
      <c r="DT122" s="5">
        <v>0</v>
      </c>
      <c r="DU122" s="5">
        <v>0</v>
      </c>
      <c r="DV122" s="5">
        <v>0</v>
      </c>
      <c r="DW122" s="5">
        <v>0</v>
      </c>
      <c r="DX122" s="5">
        <v>0</v>
      </c>
      <c r="DY122" s="5">
        <v>0</v>
      </c>
      <c r="DZ122" s="5">
        <v>0</v>
      </c>
      <c r="EA122" s="5">
        <v>0</v>
      </c>
      <c r="EB122" s="5">
        <v>0</v>
      </c>
      <c r="EC122" s="5">
        <v>0</v>
      </c>
      <c r="ED122" s="5">
        <v>0</v>
      </c>
      <c r="EE122" s="5">
        <v>0</v>
      </c>
      <c r="EF122" s="5">
        <v>0</v>
      </c>
      <c r="EG122" s="5">
        <v>0</v>
      </c>
      <c r="EH122" s="5">
        <v>0</v>
      </c>
      <c r="EI122" s="5">
        <v>0</v>
      </c>
      <c r="EJ122" s="5">
        <v>0</v>
      </c>
      <c r="EK122" s="5">
        <v>0</v>
      </c>
      <c r="EL122" s="5">
        <v>0</v>
      </c>
      <c r="EM122" s="5">
        <v>0</v>
      </c>
      <c r="EN122" s="5">
        <v>0</v>
      </c>
      <c r="EO122" s="5">
        <v>0</v>
      </c>
      <c r="EP122" s="5">
        <v>0</v>
      </c>
      <c r="EQ122" s="5">
        <v>0</v>
      </c>
    </row>
    <row r="123" spans="1:147">
      <c r="A123" s="5"/>
      <c r="B123" s="5"/>
      <c r="C123" s="5"/>
      <c r="D123" s="5"/>
      <c r="E123" s="5">
        <v>242750000000</v>
      </c>
      <c r="F123" s="5">
        <v>2778900000000</v>
      </c>
      <c r="G123" s="5">
        <v>1727100000000</v>
      </c>
      <c r="H123" s="5">
        <v>2431200000000</v>
      </c>
      <c r="I123" s="5">
        <v>1393100000000</v>
      </c>
      <c r="J123" s="5">
        <v>2234500000000</v>
      </c>
      <c r="K123" s="5">
        <v>1508500000000</v>
      </c>
      <c r="L123" s="5">
        <v>648100000000</v>
      </c>
      <c r="M123" s="5">
        <v>351460000000</v>
      </c>
      <c r="N123" s="5">
        <v>1775900000000</v>
      </c>
      <c r="O123" s="5">
        <v>876040000000</v>
      </c>
      <c r="P123" s="5">
        <v>3106100000000</v>
      </c>
      <c r="Q123" s="5">
        <v>1063800000000</v>
      </c>
      <c r="R123" s="5">
        <v>2947900000000</v>
      </c>
      <c r="S123" s="5">
        <v>989610000000</v>
      </c>
      <c r="T123" s="5">
        <v>2581400000000</v>
      </c>
      <c r="U123" s="5">
        <v>1087600000000</v>
      </c>
      <c r="V123" s="5">
        <v>3329700000000</v>
      </c>
      <c r="W123" s="5">
        <v>877050000000</v>
      </c>
      <c r="X123" s="5">
        <v>5614400000000</v>
      </c>
      <c r="Y123" s="5">
        <v>3162000000000</v>
      </c>
      <c r="Z123" s="5">
        <v>4005500000000</v>
      </c>
      <c r="AA123" s="5">
        <v>811510000000</v>
      </c>
      <c r="AB123" s="5">
        <v>3109900000000</v>
      </c>
      <c r="AC123" s="5">
        <v>606430000000</v>
      </c>
      <c r="AD123" s="5">
        <v>4828300000000</v>
      </c>
      <c r="AE123" s="5">
        <v>761900000000</v>
      </c>
      <c r="AF123" s="5">
        <v>3988300000000</v>
      </c>
      <c r="AG123" s="5">
        <v>628160000000</v>
      </c>
      <c r="AH123" s="5">
        <v>7829700000000</v>
      </c>
      <c r="AI123" s="5">
        <v>1156500000000</v>
      </c>
      <c r="AJ123" s="5">
        <v>4483200000000</v>
      </c>
      <c r="AK123" s="5">
        <v>579240000000</v>
      </c>
      <c r="AL123" s="5">
        <v>4224400000000</v>
      </c>
      <c r="AM123" s="5">
        <v>604930000000</v>
      </c>
      <c r="AN123" s="5">
        <v>3639600000000</v>
      </c>
      <c r="AO123" s="5">
        <v>430930000000</v>
      </c>
      <c r="AP123" s="5">
        <v>3762500000000</v>
      </c>
      <c r="AQ123" s="5">
        <v>503040000000</v>
      </c>
      <c r="AR123" s="5">
        <v>2609800000000</v>
      </c>
      <c r="AS123" s="5">
        <v>332490000000</v>
      </c>
      <c r="AT123" s="5">
        <v>2594000000000</v>
      </c>
      <c r="AU123" s="5">
        <v>334100000000</v>
      </c>
      <c r="AV123" s="5">
        <v>1171500000000</v>
      </c>
      <c r="AW123" s="5">
        <v>175260000000</v>
      </c>
      <c r="AX123" s="5">
        <v>791070000000</v>
      </c>
      <c r="AY123" s="5">
        <v>137570000000</v>
      </c>
      <c r="AZ123" s="5">
        <v>298200000000</v>
      </c>
      <c r="BA123" s="5">
        <v>65396000000</v>
      </c>
      <c r="BB123" s="5">
        <v>149130000000</v>
      </c>
      <c r="BC123" s="5">
        <v>38908000000</v>
      </c>
      <c r="BD123" s="5">
        <v>168880000000</v>
      </c>
      <c r="BE123" s="5">
        <v>36006000000</v>
      </c>
      <c r="BF123" s="5">
        <v>96579000000</v>
      </c>
      <c r="BG123" s="5">
        <v>24956000000</v>
      </c>
      <c r="BH123" s="5">
        <v>67402000000</v>
      </c>
      <c r="BI123" s="5">
        <v>22741000000</v>
      </c>
      <c r="BJ123" s="5">
        <v>51056000000</v>
      </c>
      <c r="BK123" s="5">
        <v>25482000000</v>
      </c>
      <c r="BL123" s="5">
        <v>10929000000</v>
      </c>
      <c r="BM123" s="5">
        <v>4763900000</v>
      </c>
      <c r="BN123" s="5">
        <v>9056200000</v>
      </c>
      <c r="BO123" s="5">
        <v>4820600000</v>
      </c>
      <c r="BP123" s="5">
        <v>4000500000</v>
      </c>
      <c r="BQ123" s="5">
        <v>3213200000</v>
      </c>
      <c r="BR123" s="5">
        <v>0</v>
      </c>
      <c r="BS123" s="5">
        <v>0</v>
      </c>
      <c r="BT123" s="5">
        <v>0</v>
      </c>
      <c r="BU123" s="5">
        <v>0</v>
      </c>
      <c r="BV123" s="5">
        <v>0</v>
      </c>
      <c r="BW123" s="5">
        <v>0</v>
      </c>
      <c r="BX123" s="5">
        <v>0</v>
      </c>
      <c r="BY123" s="5">
        <v>0</v>
      </c>
      <c r="BZ123" s="5">
        <v>0</v>
      </c>
      <c r="CA123" s="5">
        <v>0</v>
      </c>
      <c r="CB123" s="5">
        <v>0</v>
      </c>
      <c r="CC123" s="5">
        <v>0</v>
      </c>
      <c r="CD123" s="5">
        <v>0</v>
      </c>
      <c r="CE123" s="5">
        <v>0</v>
      </c>
      <c r="CF123" s="5">
        <v>0</v>
      </c>
      <c r="CG123" s="5">
        <v>0</v>
      </c>
      <c r="CH123" s="5">
        <v>0</v>
      </c>
      <c r="CI123" s="5">
        <v>0</v>
      </c>
      <c r="CJ123" s="5">
        <v>0</v>
      </c>
      <c r="CK123" s="5">
        <v>0</v>
      </c>
      <c r="CL123" s="5">
        <v>0</v>
      </c>
      <c r="CM123" s="5">
        <v>0</v>
      </c>
      <c r="CN123" s="5">
        <v>0</v>
      </c>
      <c r="CO123" s="5">
        <v>0</v>
      </c>
      <c r="CP123" s="5">
        <v>0</v>
      </c>
      <c r="CQ123" s="5">
        <v>0</v>
      </c>
      <c r="CR123" s="5">
        <v>0</v>
      </c>
      <c r="CS123" s="5">
        <v>0</v>
      </c>
      <c r="CT123" s="5">
        <v>0</v>
      </c>
      <c r="CU123" s="5">
        <v>0</v>
      </c>
      <c r="CV123" s="5">
        <v>0</v>
      </c>
      <c r="CW123" s="5">
        <v>0</v>
      </c>
      <c r="CX123" s="5">
        <v>0</v>
      </c>
      <c r="CY123" s="5">
        <v>0</v>
      </c>
      <c r="CZ123" s="5">
        <v>0</v>
      </c>
      <c r="DA123" s="5">
        <v>0</v>
      </c>
      <c r="DB123" s="5">
        <v>0</v>
      </c>
      <c r="DC123" s="5">
        <v>0</v>
      </c>
      <c r="DD123" s="5">
        <v>0</v>
      </c>
      <c r="DE123" s="5">
        <v>0</v>
      </c>
      <c r="DF123" s="5">
        <v>0</v>
      </c>
      <c r="DG123" s="5">
        <v>0</v>
      </c>
      <c r="DH123" s="5">
        <v>0</v>
      </c>
      <c r="DI123" s="5">
        <v>0</v>
      </c>
      <c r="DJ123" s="5">
        <v>0</v>
      </c>
      <c r="DK123" s="5">
        <v>0</v>
      </c>
      <c r="DL123" s="5">
        <v>0</v>
      </c>
      <c r="DM123" s="5">
        <v>0</v>
      </c>
      <c r="DN123" s="5">
        <v>0</v>
      </c>
      <c r="DO123" s="5">
        <v>0</v>
      </c>
      <c r="DP123" s="5">
        <v>0</v>
      </c>
      <c r="DQ123" s="5">
        <v>0</v>
      </c>
      <c r="DR123" s="5">
        <v>0</v>
      </c>
      <c r="DS123" s="5">
        <v>0</v>
      </c>
      <c r="DT123" s="5">
        <v>0</v>
      </c>
      <c r="DU123" s="5">
        <v>0</v>
      </c>
      <c r="DV123" s="5">
        <v>0</v>
      </c>
      <c r="DW123" s="5">
        <v>0</v>
      </c>
      <c r="DX123" s="5">
        <v>0</v>
      </c>
      <c r="DY123" s="5">
        <v>0</v>
      </c>
      <c r="DZ123" s="5">
        <v>0</v>
      </c>
      <c r="EA123" s="5">
        <v>0</v>
      </c>
      <c r="EB123" s="5">
        <v>0</v>
      </c>
      <c r="EC123" s="5">
        <v>0</v>
      </c>
      <c r="ED123" s="5">
        <v>0</v>
      </c>
      <c r="EE123" s="5">
        <v>0</v>
      </c>
      <c r="EF123" s="5">
        <v>0</v>
      </c>
      <c r="EG123" s="5">
        <v>0</v>
      </c>
      <c r="EH123" s="5">
        <v>0</v>
      </c>
      <c r="EI123" s="5">
        <v>0</v>
      </c>
      <c r="EJ123" s="5">
        <v>0</v>
      </c>
      <c r="EK123" s="5">
        <v>0</v>
      </c>
      <c r="EL123" s="5">
        <v>0</v>
      </c>
      <c r="EM123" s="5">
        <v>0</v>
      </c>
      <c r="EN123" s="5">
        <v>0</v>
      </c>
      <c r="EO123" s="5">
        <v>0</v>
      </c>
      <c r="EP123" s="5">
        <v>0</v>
      </c>
      <c r="EQ123" s="5">
        <v>0</v>
      </c>
    </row>
    <row r="124" spans="1:147">
      <c r="A124" s="5"/>
      <c r="B124" s="5"/>
      <c r="C124" s="5"/>
      <c r="D124" s="5"/>
      <c r="E124" s="5">
        <v>1567400000000</v>
      </c>
      <c r="F124" s="5">
        <v>2381200000000</v>
      </c>
      <c r="G124" s="5">
        <v>1810700000000</v>
      </c>
      <c r="H124" s="5">
        <v>136670000000</v>
      </c>
      <c r="I124" s="5">
        <v>136670000000</v>
      </c>
      <c r="J124" s="5">
        <v>2367300000000</v>
      </c>
      <c r="K124" s="5">
        <v>1450000000000</v>
      </c>
      <c r="L124" s="5">
        <v>1881800000000</v>
      </c>
      <c r="M124" s="5">
        <v>993960000000</v>
      </c>
      <c r="N124" s="5">
        <v>344610000000</v>
      </c>
      <c r="O124" s="5">
        <v>209760000000</v>
      </c>
      <c r="P124" s="5">
        <v>1171800000000</v>
      </c>
      <c r="Q124" s="5">
        <v>462150000000</v>
      </c>
      <c r="R124" s="5">
        <v>2171500000000</v>
      </c>
      <c r="S124" s="5">
        <v>841450000000</v>
      </c>
      <c r="T124" s="5">
        <v>1094200000000</v>
      </c>
      <c r="U124" s="5">
        <v>526410000000</v>
      </c>
      <c r="V124" s="5">
        <v>2234400000000</v>
      </c>
      <c r="W124" s="5">
        <v>729540000000</v>
      </c>
      <c r="X124" s="5">
        <v>3188800000000</v>
      </c>
      <c r="Y124" s="5">
        <v>750320000000</v>
      </c>
      <c r="Z124" s="5">
        <v>3753000000000</v>
      </c>
      <c r="AA124" s="5">
        <v>749470000000</v>
      </c>
      <c r="AB124" s="5">
        <v>2649700000000</v>
      </c>
      <c r="AC124" s="5">
        <v>676210000000</v>
      </c>
      <c r="AD124" s="5">
        <v>4220300000000</v>
      </c>
      <c r="AE124" s="5">
        <v>1323000000000</v>
      </c>
      <c r="AF124" s="5">
        <v>5035700000000</v>
      </c>
      <c r="AG124" s="5">
        <v>1165800000000</v>
      </c>
      <c r="AH124" s="5">
        <v>2972600000000</v>
      </c>
      <c r="AI124" s="5">
        <v>502370000000</v>
      </c>
      <c r="AJ124" s="5">
        <v>3186600000000</v>
      </c>
      <c r="AK124" s="5">
        <v>476400000000</v>
      </c>
      <c r="AL124" s="5">
        <v>4201900000000</v>
      </c>
      <c r="AM124" s="5">
        <v>542050000000</v>
      </c>
      <c r="AN124" s="5">
        <v>2922400000000</v>
      </c>
      <c r="AO124" s="5">
        <v>401250000000</v>
      </c>
      <c r="AP124" s="5">
        <v>1669500000000</v>
      </c>
      <c r="AQ124" s="5">
        <v>215690000000</v>
      </c>
      <c r="AR124" s="5">
        <v>1545400000000</v>
      </c>
      <c r="AS124" s="5">
        <v>214340000000</v>
      </c>
      <c r="AT124" s="5">
        <v>1037900000000</v>
      </c>
      <c r="AU124" s="5">
        <v>146560000000</v>
      </c>
      <c r="AV124" s="5">
        <v>968390000000</v>
      </c>
      <c r="AW124" s="5">
        <v>198040000000</v>
      </c>
      <c r="AX124" s="5">
        <v>395880000000</v>
      </c>
      <c r="AY124" s="5">
        <v>62629000000</v>
      </c>
      <c r="AZ124" s="5">
        <v>262080000000</v>
      </c>
      <c r="BA124" s="5">
        <v>59703000000</v>
      </c>
      <c r="BB124" s="5">
        <v>104220000000</v>
      </c>
      <c r="BC124" s="5">
        <v>29839000000</v>
      </c>
      <c r="BD124" s="5">
        <v>103610000000</v>
      </c>
      <c r="BE124" s="5">
        <v>34533000000</v>
      </c>
      <c r="BF124" s="5">
        <v>152150000000</v>
      </c>
      <c r="BG124" s="5">
        <v>59356000000</v>
      </c>
      <c r="BH124" s="5">
        <v>34826000000</v>
      </c>
      <c r="BI124" s="5">
        <v>14700000000</v>
      </c>
      <c r="BJ124" s="5">
        <v>21090000000</v>
      </c>
      <c r="BK124" s="5">
        <v>8288500000</v>
      </c>
      <c r="BL124" s="5">
        <v>4574000000</v>
      </c>
      <c r="BM124" s="5">
        <v>2706400000</v>
      </c>
      <c r="BN124" s="5">
        <v>5006500000</v>
      </c>
      <c r="BO124" s="5">
        <v>3218200000</v>
      </c>
      <c r="BP124" s="5">
        <v>1186600000</v>
      </c>
      <c r="BQ124" s="5">
        <v>1186600000</v>
      </c>
      <c r="BR124" s="5">
        <v>108450000</v>
      </c>
      <c r="BS124" s="5">
        <v>108450000</v>
      </c>
      <c r="BT124" s="5">
        <v>0</v>
      </c>
      <c r="BU124" s="5">
        <v>0</v>
      </c>
      <c r="BV124" s="5">
        <v>0</v>
      </c>
      <c r="BW124" s="5">
        <v>0</v>
      </c>
      <c r="BX124" s="5">
        <v>0</v>
      </c>
      <c r="BY124" s="5">
        <v>0</v>
      </c>
      <c r="BZ124" s="5">
        <v>0</v>
      </c>
      <c r="CA124" s="5">
        <v>0</v>
      </c>
      <c r="CB124" s="5">
        <v>0</v>
      </c>
      <c r="CC124" s="5">
        <v>0</v>
      </c>
      <c r="CD124" s="5">
        <v>0</v>
      </c>
      <c r="CE124" s="5">
        <v>0</v>
      </c>
      <c r="CF124" s="5">
        <v>0</v>
      </c>
      <c r="CG124" s="5">
        <v>0</v>
      </c>
      <c r="CH124" s="5">
        <v>0</v>
      </c>
      <c r="CI124" s="5">
        <v>0</v>
      </c>
      <c r="CJ124" s="5">
        <v>0</v>
      </c>
      <c r="CK124" s="5">
        <v>0</v>
      </c>
      <c r="CL124" s="5">
        <v>0</v>
      </c>
      <c r="CM124" s="5">
        <v>0</v>
      </c>
      <c r="CN124" s="5">
        <v>0</v>
      </c>
      <c r="CO124" s="5">
        <v>0</v>
      </c>
      <c r="CP124" s="5">
        <v>0</v>
      </c>
      <c r="CQ124" s="5">
        <v>0</v>
      </c>
      <c r="CR124" s="5">
        <v>0</v>
      </c>
      <c r="CS124" s="5">
        <v>0</v>
      </c>
      <c r="CT124" s="5">
        <v>0</v>
      </c>
      <c r="CU124" s="5">
        <v>0</v>
      </c>
      <c r="CV124" s="5">
        <v>0</v>
      </c>
      <c r="CW124" s="5">
        <v>0</v>
      </c>
      <c r="CX124" s="5">
        <v>0</v>
      </c>
      <c r="CY124" s="5">
        <v>0</v>
      </c>
      <c r="CZ124" s="5">
        <v>0</v>
      </c>
      <c r="DA124" s="5">
        <v>0</v>
      </c>
      <c r="DB124" s="5">
        <v>0</v>
      </c>
      <c r="DC124" s="5">
        <v>0</v>
      </c>
      <c r="DD124" s="5">
        <v>0</v>
      </c>
      <c r="DE124" s="5">
        <v>0</v>
      </c>
      <c r="DF124" s="5">
        <v>0</v>
      </c>
      <c r="DG124" s="5">
        <v>0</v>
      </c>
      <c r="DH124" s="5">
        <v>0</v>
      </c>
      <c r="DI124" s="5">
        <v>0</v>
      </c>
      <c r="DJ124" s="5">
        <v>0</v>
      </c>
      <c r="DK124" s="5">
        <v>0</v>
      </c>
      <c r="DL124" s="5">
        <v>0</v>
      </c>
      <c r="DM124" s="5">
        <v>0</v>
      </c>
      <c r="DN124" s="5">
        <v>0</v>
      </c>
      <c r="DO124" s="5">
        <v>0</v>
      </c>
      <c r="DP124" s="5">
        <v>0</v>
      </c>
      <c r="DQ124" s="5">
        <v>0</v>
      </c>
      <c r="DR124" s="5">
        <v>0</v>
      </c>
      <c r="DS124" s="5">
        <v>0</v>
      </c>
      <c r="DT124" s="5">
        <v>0</v>
      </c>
      <c r="DU124" s="5">
        <v>0</v>
      </c>
      <c r="DV124" s="5">
        <v>0</v>
      </c>
      <c r="DW124" s="5">
        <v>0</v>
      </c>
      <c r="DX124" s="5">
        <v>0</v>
      </c>
      <c r="DY124" s="5">
        <v>0</v>
      </c>
      <c r="DZ124" s="5">
        <v>0</v>
      </c>
      <c r="EA124" s="5">
        <v>0</v>
      </c>
      <c r="EB124" s="5">
        <v>0</v>
      </c>
      <c r="EC124" s="5">
        <v>0</v>
      </c>
      <c r="ED124" s="5">
        <v>0</v>
      </c>
      <c r="EE124" s="5">
        <v>0</v>
      </c>
      <c r="EF124" s="5">
        <v>0</v>
      </c>
      <c r="EG124" s="5">
        <v>0</v>
      </c>
      <c r="EH124" s="5">
        <v>0</v>
      </c>
      <c r="EI124" s="5">
        <v>0</v>
      </c>
      <c r="EJ124" s="5">
        <v>0</v>
      </c>
      <c r="EK124" s="5">
        <v>0</v>
      </c>
      <c r="EL124" s="5">
        <v>0</v>
      </c>
      <c r="EM124" s="5">
        <v>0</v>
      </c>
      <c r="EN124" s="5">
        <v>0</v>
      </c>
      <c r="EO124" s="5">
        <v>0</v>
      </c>
      <c r="EP124" s="5">
        <v>0</v>
      </c>
      <c r="EQ124" s="5">
        <v>0</v>
      </c>
    </row>
    <row r="125" spans="1:147">
      <c r="A125" s="5"/>
      <c r="B125" s="5"/>
      <c r="C125" s="5"/>
      <c r="D125" s="5"/>
      <c r="E125" s="5">
        <v>1097200000000</v>
      </c>
      <c r="F125" s="5">
        <v>0</v>
      </c>
      <c r="G125" s="5">
        <v>0</v>
      </c>
      <c r="H125" s="5">
        <v>738640000000</v>
      </c>
      <c r="I125" s="5">
        <v>628800000000</v>
      </c>
      <c r="J125" s="5">
        <v>1619900000000</v>
      </c>
      <c r="K125" s="5">
        <v>953160000000</v>
      </c>
      <c r="L125" s="5">
        <v>1843000000000</v>
      </c>
      <c r="M125" s="5">
        <v>1158400000000</v>
      </c>
      <c r="N125" s="5">
        <v>1845600000000</v>
      </c>
      <c r="O125" s="5">
        <v>1165100000000</v>
      </c>
      <c r="P125" s="5">
        <v>1082700000000</v>
      </c>
      <c r="Q125" s="5">
        <v>632190000000</v>
      </c>
      <c r="R125" s="5">
        <v>2023000000000</v>
      </c>
      <c r="S125" s="5">
        <v>919060000000</v>
      </c>
      <c r="T125" s="5">
        <v>778230000000</v>
      </c>
      <c r="U125" s="5">
        <v>391920000000</v>
      </c>
      <c r="V125" s="5">
        <v>1556700000000</v>
      </c>
      <c r="W125" s="5">
        <v>476810000000</v>
      </c>
      <c r="X125" s="5">
        <v>2283800000000</v>
      </c>
      <c r="Y125" s="5">
        <v>663670000000</v>
      </c>
      <c r="Z125" s="5">
        <v>2154300000000</v>
      </c>
      <c r="AA125" s="5">
        <v>697570000000</v>
      </c>
      <c r="AB125" s="5">
        <v>2142400000000</v>
      </c>
      <c r="AC125" s="5">
        <v>551450000000</v>
      </c>
      <c r="AD125" s="5">
        <v>2789400000000</v>
      </c>
      <c r="AE125" s="5">
        <v>1022300000000</v>
      </c>
      <c r="AF125" s="5">
        <v>2614700000000</v>
      </c>
      <c r="AG125" s="5">
        <v>456260000000</v>
      </c>
      <c r="AH125" s="5">
        <v>2491600000000</v>
      </c>
      <c r="AI125" s="5">
        <v>382710000000</v>
      </c>
      <c r="AJ125" s="5">
        <v>2052600000000</v>
      </c>
      <c r="AK125" s="5">
        <v>380560000000</v>
      </c>
      <c r="AL125" s="5">
        <v>4031100000000</v>
      </c>
      <c r="AM125" s="5">
        <v>744960000000</v>
      </c>
      <c r="AN125" s="5">
        <v>1859600000000</v>
      </c>
      <c r="AO125" s="5">
        <v>284710000000</v>
      </c>
      <c r="AP125" s="5">
        <v>1966200000000</v>
      </c>
      <c r="AQ125" s="5">
        <v>292380000000</v>
      </c>
      <c r="AR125" s="5">
        <v>1601000000000</v>
      </c>
      <c r="AS125" s="5">
        <v>216770000000</v>
      </c>
      <c r="AT125" s="5">
        <v>1082500000000</v>
      </c>
      <c r="AU125" s="5">
        <v>215100000000</v>
      </c>
      <c r="AV125" s="5">
        <v>390300000000</v>
      </c>
      <c r="AW125" s="5">
        <v>68069000000</v>
      </c>
      <c r="AX125" s="5">
        <v>371110000000</v>
      </c>
      <c r="AY125" s="5">
        <v>72848000000</v>
      </c>
      <c r="AZ125" s="5">
        <v>115590000000</v>
      </c>
      <c r="BA125" s="5">
        <v>22609000000</v>
      </c>
      <c r="BB125" s="5">
        <v>71680000000</v>
      </c>
      <c r="BC125" s="5">
        <v>23977000000</v>
      </c>
      <c r="BD125" s="5">
        <v>42830000000</v>
      </c>
      <c r="BE125" s="5">
        <v>13367000000</v>
      </c>
      <c r="BF125" s="5">
        <v>46045000000</v>
      </c>
      <c r="BG125" s="5">
        <v>16424000000</v>
      </c>
      <c r="BH125" s="5">
        <v>38095000000</v>
      </c>
      <c r="BI125" s="5">
        <v>13154000000</v>
      </c>
      <c r="BJ125" s="5">
        <v>22098000000</v>
      </c>
      <c r="BK125" s="5">
        <v>15513000000</v>
      </c>
      <c r="BL125" s="5">
        <v>5671700000</v>
      </c>
      <c r="BM125" s="5">
        <v>3333800000</v>
      </c>
      <c r="BN125" s="5">
        <v>1987100000</v>
      </c>
      <c r="BO125" s="5">
        <v>1104800000</v>
      </c>
      <c r="BP125" s="5">
        <v>1522600000</v>
      </c>
      <c r="BQ125" s="5">
        <v>1302300000</v>
      </c>
      <c r="BR125" s="5">
        <v>0</v>
      </c>
      <c r="BS125" s="5">
        <v>0</v>
      </c>
      <c r="BT125" s="5">
        <v>0</v>
      </c>
      <c r="BU125" s="5">
        <v>0</v>
      </c>
      <c r="BV125" s="5">
        <v>0</v>
      </c>
      <c r="BW125" s="5">
        <v>0</v>
      </c>
      <c r="BX125" s="5">
        <v>0</v>
      </c>
      <c r="BY125" s="5">
        <v>0</v>
      </c>
      <c r="BZ125" s="5">
        <v>0</v>
      </c>
      <c r="CA125" s="5">
        <v>0</v>
      </c>
      <c r="CB125" s="5">
        <v>0</v>
      </c>
      <c r="CC125" s="5">
        <v>0</v>
      </c>
      <c r="CD125" s="5">
        <v>0</v>
      </c>
      <c r="CE125" s="5">
        <v>0</v>
      </c>
      <c r="CF125" s="5">
        <v>0</v>
      </c>
      <c r="CG125" s="5">
        <v>0</v>
      </c>
      <c r="CH125" s="5">
        <v>0</v>
      </c>
      <c r="CI125" s="5">
        <v>0</v>
      </c>
      <c r="CJ125" s="5">
        <v>0</v>
      </c>
      <c r="CK125" s="5">
        <v>0</v>
      </c>
      <c r="CL125" s="5">
        <v>0</v>
      </c>
      <c r="CM125" s="5">
        <v>0</v>
      </c>
      <c r="CN125" s="5">
        <v>0</v>
      </c>
      <c r="CO125" s="5">
        <v>0</v>
      </c>
      <c r="CP125" s="5">
        <v>0</v>
      </c>
      <c r="CQ125" s="5">
        <v>0</v>
      </c>
      <c r="CR125" s="5">
        <v>0</v>
      </c>
      <c r="CS125" s="5">
        <v>0</v>
      </c>
      <c r="CT125" s="5">
        <v>0</v>
      </c>
      <c r="CU125" s="5">
        <v>0</v>
      </c>
      <c r="CV125" s="5">
        <v>0</v>
      </c>
      <c r="CW125" s="5">
        <v>0</v>
      </c>
      <c r="CX125" s="5">
        <v>0</v>
      </c>
      <c r="CY125" s="5">
        <v>0</v>
      </c>
      <c r="CZ125" s="5">
        <v>0</v>
      </c>
      <c r="DA125" s="5">
        <v>0</v>
      </c>
      <c r="DB125" s="5">
        <v>0</v>
      </c>
      <c r="DC125" s="5">
        <v>0</v>
      </c>
      <c r="DD125" s="5">
        <v>0</v>
      </c>
      <c r="DE125" s="5">
        <v>0</v>
      </c>
      <c r="DF125" s="5">
        <v>0</v>
      </c>
      <c r="DG125" s="5">
        <v>0</v>
      </c>
      <c r="DH125" s="5">
        <v>0</v>
      </c>
      <c r="DI125" s="5">
        <v>0</v>
      </c>
      <c r="DJ125" s="5">
        <v>0</v>
      </c>
      <c r="DK125" s="5">
        <v>0</v>
      </c>
      <c r="DL125" s="5">
        <v>0</v>
      </c>
      <c r="DM125" s="5">
        <v>0</v>
      </c>
      <c r="DN125" s="5">
        <v>0</v>
      </c>
      <c r="DO125" s="5">
        <v>0</v>
      </c>
      <c r="DP125" s="5">
        <v>0</v>
      </c>
      <c r="DQ125" s="5">
        <v>0</v>
      </c>
      <c r="DR125" s="5">
        <v>0</v>
      </c>
      <c r="DS125" s="5">
        <v>0</v>
      </c>
      <c r="DT125" s="5">
        <v>0</v>
      </c>
      <c r="DU125" s="5">
        <v>0</v>
      </c>
      <c r="DV125" s="5">
        <v>0</v>
      </c>
      <c r="DW125" s="5">
        <v>0</v>
      </c>
      <c r="DX125" s="5">
        <v>0</v>
      </c>
      <c r="DY125" s="5">
        <v>0</v>
      </c>
      <c r="DZ125" s="5">
        <v>0</v>
      </c>
      <c r="EA125" s="5">
        <v>0</v>
      </c>
      <c r="EB125" s="5">
        <v>0</v>
      </c>
      <c r="EC125" s="5">
        <v>0</v>
      </c>
      <c r="ED125" s="5">
        <v>0</v>
      </c>
      <c r="EE125" s="5">
        <v>0</v>
      </c>
      <c r="EF125" s="5">
        <v>0</v>
      </c>
      <c r="EG125" s="5">
        <v>0</v>
      </c>
      <c r="EH125" s="5">
        <v>0</v>
      </c>
      <c r="EI125" s="5">
        <v>0</v>
      </c>
      <c r="EJ125" s="5">
        <v>0</v>
      </c>
      <c r="EK125" s="5">
        <v>0</v>
      </c>
      <c r="EL125" s="5">
        <v>0</v>
      </c>
      <c r="EM125" s="5">
        <v>0</v>
      </c>
      <c r="EN125" s="5">
        <v>0</v>
      </c>
      <c r="EO125" s="5">
        <v>0</v>
      </c>
      <c r="EP125" s="5">
        <v>0</v>
      </c>
      <c r="EQ125" s="5">
        <v>0</v>
      </c>
    </row>
    <row r="126" spans="1:147">
      <c r="A126" s="5"/>
      <c r="B126" s="5"/>
      <c r="C126" s="5"/>
      <c r="D126" s="5"/>
      <c r="E126" s="5">
        <v>288430000000</v>
      </c>
      <c r="F126" s="5">
        <v>0</v>
      </c>
      <c r="G126" s="5">
        <v>0</v>
      </c>
      <c r="H126" s="5">
        <v>455580000000</v>
      </c>
      <c r="I126" s="5">
        <v>455580000000</v>
      </c>
      <c r="J126" s="5">
        <v>944490000000</v>
      </c>
      <c r="K126" s="5">
        <v>862500000000</v>
      </c>
      <c r="L126" s="5">
        <v>263580000000</v>
      </c>
      <c r="M126" s="5">
        <v>186610000000</v>
      </c>
      <c r="N126" s="5">
        <v>757030000000</v>
      </c>
      <c r="O126" s="5">
        <v>547940000000</v>
      </c>
      <c r="P126" s="5">
        <v>311600000000</v>
      </c>
      <c r="Q126" s="5">
        <v>135830000000</v>
      </c>
      <c r="R126" s="5">
        <v>2109300000000</v>
      </c>
      <c r="S126" s="5">
        <v>997280000000</v>
      </c>
      <c r="T126" s="5">
        <v>330450000000</v>
      </c>
      <c r="U126" s="5">
        <v>118700000000</v>
      </c>
      <c r="V126" s="5">
        <v>954330000000</v>
      </c>
      <c r="W126" s="5">
        <v>291740000000</v>
      </c>
      <c r="X126" s="5">
        <v>1130100000000</v>
      </c>
      <c r="Y126" s="5">
        <v>457120000000</v>
      </c>
      <c r="Z126" s="5">
        <v>1116700000000</v>
      </c>
      <c r="AA126" s="5">
        <v>355100000000</v>
      </c>
      <c r="AB126" s="5">
        <v>961020000000</v>
      </c>
      <c r="AC126" s="5">
        <v>232090000000</v>
      </c>
      <c r="AD126" s="5">
        <v>884410000000</v>
      </c>
      <c r="AE126" s="5">
        <v>190680000000</v>
      </c>
      <c r="AF126" s="5">
        <v>1644500000000</v>
      </c>
      <c r="AG126" s="5">
        <v>331690000000</v>
      </c>
      <c r="AH126" s="5">
        <v>1381400000000</v>
      </c>
      <c r="AI126" s="5">
        <v>267720000000</v>
      </c>
      <c r="AJ126" s="5">
        <v>1885400000000</v>
      </c>
      <c r="AK126" s="5">
        <v>290740000000</v>
      </c>
      <c r="AL126" s="5">
        <v>1194200000000</v>
      </c>
      <c r="AM126" s="5">
        <v>185100000000</v>
      </c>
      <c r="AN126" s="5">
        <v>1209500000000</v>
      </c>
      <c r="AO126" s="5">
        <v>209490000000</v>
      </c>
      <c r="AP126" s="5">
        <v>639420000000</v>
      </c>
      <c r="AQ126" s="5">
        <v>103270000000</v>
      </c>
      <c r="AR126" s="5">
        <v>559360000000</v>
      </c>
      <c r="AS126" s="5">
        <v>106780000000</v>
      </c>
      <c r="AT126" s="5">
        <v>852050000000</v>
      </c>
      <c r="AU126" s="5">
        <v>176370000000</v>
      </c>
      <c r="AV126" s="5">
        <v>363160000000</v>
      </c>
      <c r="AW126" s="5">
        <v>78552000000</v>
      </c>
      <c r="AX126" s="5">
        <v>127230000000</v>
      </c>
      <c r="AY126" s="5">
        <v>31440000000</v>
      </c>
      <c r="AZ126" s="5">
        <v>158420000000</v>
      </c>
      <c r="BA126" s="5">
        <v>77750000000</v>
      </c>
      <c r="BB126" s="5">
        <v>21200000000</v>
      </c>
      <c r="BC126" s="5">
        <v>7341600000</v>
      </c>
      <c r="BD126" s="5">
        <v>24531000000</v>
      </c>
      <c r="BE126" s="5">
        <v>8654400000</v>
      </c>
      <c r="BF126" s="5">
        <v>22054000000</v>
      </c>
      <c r="BG126" s="5">
        <v>9950700000</v>
      </c>
      <c r="BH126" s="5">
        <v>29808000000</v>
      </c>
      <c r="BI126" s="5">
        <v>14144000000</v>
      </c>
      <c r="BJ126" s="5">
        <v>6193700000</v>
      </c>
      <c r="BK126" s="5">
        <v>2974800000</v>
      </c>
      <c r="BL126" s="5">
        <v>3420200000</v>
      </c>
      <c r="BM126" s="5">
        <v>1993300000</v>
      </c>
      <c r="BN126" s="5">
        <v>1594700000</v>
      </c>
      <c r="BO126" s="5">
        <v>961440000</v>
      </c>
      <c r="BP126" s="5">
        <v>239450000</v>
      </c>
      <c r="BQ126" s="5">
        <v>239450000</v>
      </c>
      <c r="BR126" s="5">
        <v>0</v>
      </c>
      <c r="BS126" s="5">
        <v>0</v>
      </c>
      <c r="BT126" s="5">
        <v>583860000</v>
      </c>
      <c r="BU126" s="5">
        <v>583860000</v>
      </c>
      <c r="BV126" s="5">
        <v>0</v>
      </c>
      <c r="BW126" s="5">
        <v>0</v>
      </c>
      <c r="BX126" s="5">
        <v>0</v>
      </c>
      <c r="BY126" s="5">
        <v>0</v>
      </c>
      <c r="BZ126" s="5">
        <v>0</v>
      </c>
      <c r="CA126" s="5">
        <v>0</v>
      </c>
      <c r="CB126" s="5">
        <v>0</v>
      </c>
      <c r="CC126" s="5">
        <v>0</v>
      </c>
      <c r="CD126" s="5">
        <v>0</v>
      </c>
      <c r="CE126" s="5">
        <v>0</v>
      </c>
      <c r="CF126" s="5">
        <v>0</v>
      </c>
      <c r="CG126" s="5">
        <v>0</v>
      </c>
      <c r="CH126" s="5">
        <v>0</v>
      </c>
      <c r="CI126" s="5">
        <v>0</v>
      </c>
      <c r="CJ126" s="5">
        <v>0</v>
      </c>
      <c r="CK126" s="5">
        <v>0</v>
      </c>
      <c r="CL126" s="5">
        <v>0</v>
      </c>
      <c r="CM126" s="5">
        <v>0</v>
      </c>
      <c r="CN126" s="5">
        <v>0</v>
      </c>
      <c r="CO126" s="5">
        <v>0</v>
      </c>
      <c r="CP126" s="5">
        <v>0</v>
      </c>
      <c r="CQ126" s="5">
        <v>0</v>
      </c>
      <c r="CR126" s="5">
        <v>0</v>
      </c>
      <c r="CS126" s="5">
        <v>0</v>
      </c>
      <c r="CT126" s="5">
        <v>0</v>
      </c>
      <c r="CU126" s="5">
        <v>0</v>
      </c>
      <c r="CV126" s="5">
        <v>0</v>
      </c>
      <c r="CW126" s="5">
        <v>0</v>
      </c>
      <c r="CX126" s="5">
        <v>0</v>
      </c>
      <c r="CY126" s="5">
        <v>0</v>
      </c>
      <c r="CZ126" s="5">
        <v>0</v>
      </c>
      <c r="DA126" s="5">
        <v>0</v>
      </c>
      <c r="DB126" s="5">
        <v>0</v>
      </c>
      <c r="DC126" s="5">
        <v>0</v>
      </c>
      <c r="DD126" s="5">
        <v>0</v>
      </c>
      <c r="DE126" s="5">
        <v>0</v>
      </c>
      <c r="DF126" s="5">
        <v>0</v>
      </c>
      <c r="DG126" s="5">
        <v>0</v>
      </c>
      <c r="DH126" s="5">
        <v>0</v>
      </c>
      <c r="DI126" s="5">
        <v>0</v>
      </c>
      <c r="DJ126" s="5">
        <v>0</v>
      </c>
      <c r="DK126" s="5">
        <v>0</v>
      </c>
      <c r="DL126" s="5">
        <v>0</v>
      </c>
      <c r="DM126" s="5">
        <v>0</v>
      </c>
      <c r="DN126" s="5">
        <v>0</v>
      </c>
      <c r="DO126" s="5">
        <v>0</v>
      </c>
      <c r="DP126" s="5">
        <v>0</v>
      </c>
      <c r="DQ126" s="5">
        <v>0</v>
      </c>
      <c r="DR126" s="5">
        <v>0</v>
      </c>
      <c r="DS126" s="5">
        <v>0</v>
      </c>
      <c r="DT126" s="5">
        <v>0</v>
      </c>
      <c r="DU126" s="5">
        <v>0</v>
      </c>
      <c r="DV126" s="5">
        <v>0</v>
      </c>
      <c r="DW126" s="5">
        <v>0</v>
      </c>
      <c r="DX126" s="5">
        <v>0</v>
      </c>
      <c r="DY126" s="5">
        <v>0</v>
      </c>
      <c r="DZ126" s="5">
        <v>0</v>
      </c>
      <c r="EA126" s="5">
        <v>0</v>
      </c>
      <c r="EB126" s="5">
        <v>0</v>
      </c>
      <c r="EC126" s="5">
        <v>0</v>
      </c>
      <c r="ED126" s="5">
        <v>0</v>
      </c>
      <c r="EE126" s="5">
        <v>0</v>
      </c>
      <c r="EF126" s="5">
        <v>0</v>
      </c>
      <c r="EG126" s="5">
        <v>0</v>
      </c>
      <c r="EH126" s="5">
        <v>0</v>
      </c>
      <c r="EI126" s="5">
        <v>0</v>
      </c>
      <c r="EJ126" s="5">
        <v>0</v>
      </c>
      <c r="EK126" s="5">
        <v>0</v>
      </c>
      <c r="EL126" s="5">
        <v>0</v>
      </c>
      <c r="EM126" s="5">
        <v>0</v>
      </c>
      <c r="EN126" s="5">
        <v>0</v>
      </c>
      <c r="EO126" s="5">
        <v>0</v>
      </c>
      <c r="EP126" s="5">
        <v>0</v>
      </c>
      <c r="EQ126" s="5">
        <v>0</v>
      </c>
    </row>
    <row r="127" spans="1:147">
      <c r="A127" s="5"/>
      <c r="B127" s="5"/>
      <c r="C127" s="5"/>
      <c r="D127" s="5"/>
      <c r="E127" s="5">
        <v>0</v>
      </c>
      <c r="F127" s="5">
        <v>121790000000</v>
      </c>
      <c r="G127" s="5">
        <v>121790000000</v>
      </c>
      <c r="H127" s="5">
        <v>96576000000</v>
      </c>
      <c r="I127" s="5">
        <v>96576000000</v>
      </c>
      <c r="J127" s="5">
        <v>0</v>
      </c>
      <c r="K127" s="5">
        <v>0</v>
      </c>
      <c r="L127" s="5">
        <v>0</v>
      </c>
      <c r="M127" s="5">
        <v>0</v>
      </c>
      <c r="N127" s="5">
        <v>294790000000</v>
      </c>
      <c r="O127" s="5">
        <v>208450000000</v>
      </c>
      <c r="P127" s="5">
        <v>893470000000</v>
      </c>
      <c r="Q127" s="5">
        <v>519200000000</v>
      </c>
      <c r="R127" s="5">
        <v>770000000000</v>
      </c>
      <c r="S127" s="5">
        <v>319860000000</v>
      </c>
      <c r="T127" s="5">
        <v>348540000000</v>
      </c>
      <c r="U127" s="5">
        <v>123280000000</v>
      </c>
      <c r="V127" s="5">
        <v>867330000000</v>
      </c>
      <c r="W127" s="5">
        <v>418490000000</v>
      </c>
      <c r="X127" s="5">
        <v>349960000000</v>
      </c>
      <c r="Y127" s="5">
        <v>157410000000</v>
      </c>
      <c r="Z127" s="5">
        <v>670010000000</v>
      </c>
      <c r="AA127" s="5">
        <v>187070000000</v>
      </c>
      <c r="AB127" s="5">
        <v>649430000000</v>
      </c>
      <c r="AC127" s="5">
        <v>168920000000</v>
      </c>
      <c r="AD127" s="5">
        <v>1287900000000</v>
      </c>
      <c r="AE127" s="5">
        <v>535900000000</v>
      </c>
      <c r="AF127" s="5">
        <v>724540000000</v>
      </c>
      <c r="AG127" s="5">
        <v>167150000000</v>
      </c>
      <c r="AH127" s="5">
        <v>1062100000000</v>
      </c>
      <c r="AI127" s="5">
        <v>190970000000</v>
      </c>
      <c r="AJ127" s="5">
        <v>653810000000</v>
      </c>
      <c r="AK127" s="5">
        <v>129850000000</v>
      </c>
      <c r="AL127" s="5">
        <v>714650000000</v>
      </c>
      <c r="AM127" s="5">
        <v>117560000000</v>
      </c>
      <c r="AN127" s="5">
        <v>800970000000</v>
      </c>
      <c r="AO127" s="5">
        <v>186790000000</v>
      </c>
      <c r="AP127" s="5">
        <v>671620000000</v>
      </c>
      <c r="AQ127" s="5">
        <v>115520000000</v>
      </c>
      <c r="AR127" s="5">
        <v>596730000000</v>
      </c>
      <c r="AS127" s="5">
        <v>138560000000</v>
      </c>
      <c r="AT127" s="5">
        <v>327510000000</v>
      </c>
      <c r="AU127" s="5">
        <v>93668000000</v>
      </c>
      <c r="AV127" s="5">
        <v>190390000000</v>
      </c>
      <c r="AW127" s="5">
        <v>35621000000</v>
      </c>
      <c r="AX127" s="5">
        <v>108010000000</v>
      </c>
      <c r="AY127" s="5">
        <v>35188000000</v>
      </c>
      <c r="AZ127" s="5">
        <v>59379000000</v>
      </c>
      <c r="BA127" s="5">
        <v>15718000000</v>
      </c>
      <c r="BB127" s="5">
        <v>40749000000</v>
      </c>
      <c r="BC127" s="5">
        <v>16190000000</v>
      </c>
      <c r="BD127" s="5">
        <v>10746000000</v>
      </c>
      <c r="BE127" s="5">
        <v>4685200000</v>
      </c>
      <c r="BF127" s="5">
        <v>4670400000</v>
      </c>
      <c r="BG127" s="5">
        <v>1883100000</v>
      </c>
      <c r="BH127" s="5">
        <v>4623000000</v>
      </c>
      <c r="BI127" s="5">
        <v>3023400000</v>
      </c>
      <c r="BJ127" s="5">
        <v>6477700000</v>
      </c>
      <c r="BK127" s="5">
        <v>3963000000</v>
      </c>
      <c r="BL127" s="5">
        <v>8982600000</v>
      </c>
      <c r="BM127" s="5">
        <v>4870400000</v>
      </c>
      <c r="BN127" s="5">
        <v>1551800000</v>
      </c>
      <c r="BO127" s="5">
        <v>1551800000</v>
      </c>
      <c r="BP127" s="5">
        <v>0</v>
      </c>
      <c r="BQ127" s="5">
        <v>0</v>
      </c>
      <c r="BR127" s="5">
        <v>370460000</v>
      </c>
      <c r="BS127" s="5">
        <v>370460000</v>
      </c>
      <c r="BT127" s="5">
        <v>0</v>
      </c>
      <c r="BU127" s="5">
        <v>0</v>
      </c>
      <c r="BV127" s="5">
        <v>0</v>
      </c>
      <c r="BW127" s="5">
        <v>0</v>
      </c>
      <c r="BX127" s="5">
        <v>0</v>
      </c>
      <c r="BY127" s="5">
        <v>0</v>
      </c>
      <c r="BZ127" s="5">
        <v>0</v>
      </c>
      <c r="CA127" s="5">
        <v>0</v>
      </c>
      <c r="CB127" s="5">
        <v>0</v>
      </c>
      <c r="CC127" s="5">
        <v>0</v>
      </c>
      <c r="CD127" s="5">
        <v>0</v>
      </c>
      <c r="CE127" s="5">
        <v>0</v>
      </c>
      <c r="CF127" s="5">
        <v>0</v>
      </c>
      <c r="CG127" s="5">
        <v>0</v>
      </c>
      <c r="CH127" s="5">
        <v>0</v>
      </c>
      <c r="CI127" s="5">
        <v>0</v>
      </c>
      <c r="CJ127" s="5">
        <v>0</v>
      </c>
      <c r="CK127" s="5">
        <v>0</v>
      </c>
      <c r="CL127" s="5">
        <v>0</v>
      </c>
      <c r="CM127" s="5">
        <v>0</v>
      </c>
      <c r="CN127" s="5">
        <v>0</v>
      </c>
      <c r="CO127" s="5">
        <v>0</v>
      </c>
      <c r="CP127" s="5">
        <v>0</v>
      </c>
      <c r="CQ127" s="5">
        <v>0</v>
      </c>
      <c r="CR127" s="5">
        <v>0</v>
      </c>
      <c r="CS127" s="5">
        <v>0</v>
      </c>
      <c r="CT127" s="5">
        <v>0</v>
      </c>
      <c r="CU127" s="5">
        <v>0</v>
      </c>
      <c r="CV127" s="5">
        <v>0</v>
      </c>
      <c r="CW127" s="5">
        <v>0</v>
      </c>
      <c r="CX127" s="5">
        <v>0</v>
      </c>
      <c r="CY127" s="5">
        <v>0</v>
      </c>
      <c r="CZ127" s="5">
        <v>0</v>
      </c>
      <c r="DA127" s="5">
        <v>0</v>
      </c>
      <c r="DB127" s="5">
        <v>0</v>
      </c>
      <c r="DC127" s="5">
        <v>0</v>
      </c>
      <c r="DD127" s="5">
        <v>0</v>
      </c>
      <c r="DE127" s="5">
        <v>0</v>
      </c>
      <c r="DF127" s="5">
        <v>0</v>
      </c>
      <c r="DG127" s="5">
        <v>0</v>
      </c>
      <c r="DH127" s="5">
        <v>0</v>
      </c>
      <c r="DI127" s="5">
        <v>0</v>
      </c>
      <c r="DJ127" s="5">
        <v>0</v>
      </c>
      <c r="DK127" s="5">
        <v>0</v>
      </c>
      <c r="DL127" s="5">
        <v>0</v>
      </c>
      <c r="DM127" s="5">
        <v>0</v>
      </c>
      <c r="DN127" s="5">
        <v>0</v>
      </c>
      <c r="DO127" s="5">
        <v>0</v>
      </c>
      <c r="DP127" s="5">
        <v>0</v>
      </c>
      <c r="DQ127" s="5">
        <v>0</v>
      </c>
      <c r="DR127" s="5">
        <v>0</v>
      </c>
      <c r="DS127" s="5">
        <v>0</v>
      </c>
      <c r="DT127" s="5">
        <v>0</v>
      </c>
      <c r="DU127" s="5">
        <v>0</v>
      </c>
      <c r="DV127" s="5">
        <v>0</v>
      </c>
      <c r="DW127" s="5">
        <v>0</v>
      </c>
      <c r="DX127" s="5">
        <v>0</v>
      </c>
      <c r="DY127" s="5">
        <v>0</v>
      </c>
      <c r="DZ127" s="5">
        <v>0</v>
      </c>
      <c r="EA127" s="5">
        <v>0</v>
      </c>
      <c r="EB127" s="5">
        <v>0</v>
      </c>
      <c r="EC127" s="5">
        <v>0</v>
      </c>
      <c r="ED127" s="5">
        <v>0</v>
      </c>
      <c r="EE127" s="5">
        <v>0</v>
      </c>
      <c r="EF127" s="5">
        <v>0</v>
      </c>
      <c r="EG127" s="5">
        <v>0</v>
      </c>
      <c r="EH127" s="5">
        <v>0</v>
      </c>
      <c r="EI127" s="5">
        <v>0</v>
      </c>
      <c r="EJ127" s="5">
        <v>0</v>
      </c>
      <c r="EK127" s="5">
        <v>0</v>
      </c>
      <c r="EL127" s="5">
        <v>0</v>
      </c>
      <c r="EM127" s="5">
        <v>0</v>
      </c>
      <c r="EN127" s="5">
        <v>0</v>
      </c>
      <c r="EO127" s="5">
        <v>0</v>
      </c>
      <c r="EP127" s="5">
        <v>0</v>
      </c>
      <c r="EQ127" s="5">
        <v>0</v>
      </c>
    </row>
    <row r="128" spans="1:147">
      <c r="A128" s="5"/>
      <c r="B128" s="5"/>
      <c r="C128" s="5"/>
      <c r="D128" s="5"/>
      <c r="E128" s="5">
        <v>0</v>
      </c>
      <c r="F128" s="5">
        <v>0</v>
      </c>
      <c r="G128" s="5">
        <v>0</v>
      </c>
      <c r="H128" s="5">
        <v>88783000000</v>
      </c>
      <c r="I128" s="5">
        <v>88783000000</v>
      </c>
      <c r="J128" s="5">
        <v>0</v>
      </c>
      <c r="K128" s="5">
        <v>0</v>
      </c>
      <c r="L128" s="5">
        <v>271030000000</v>
      </c>
      <c r="M128" s="5">
        <v>143130000000</v>
      </c>
      <c r="N128" s="5">
        <v>198670000000</v>
      </c>
      <c r="O128" s="5">
        <v>198670000000</v>
      </c>
      <c r="P128" s="5">
        <v>0</v>
      </c>
      <c r="Q128" s="5">
        <v>0</v>
      </c>
      <c r="R128" s="5">
        <v>272210000000</v>
      </c>
      <c r="S128" s="5">
        <v>98814000000</v>
      </c>
      <c r="T128" s="5">
        <v>893930000000</v>
      </c>
      <c r="U128" s="5">
        <v>808560000000</v>
      </c>
      <c r="V128" s="5">
        <v>176230000000</v>
      </c>
      <c r="W128" s="5">
        <v>120390000000</v>
      </c>
      <c r="X128" s="5">
        <v>327460000000</v>
      </c>
      <c r="Y128" s="5">
        <v>151810000000</v>
      </c>
      <c r="Z128" s="5">
        <v>114560000000</v>
      </c>
      <c r="AA128" s="5">
        <v>57212000000</v>
      </c>
      <c r="AB128" s="5">
        <v>233430000000</v>
      </c>
      <c r="AC128" s="5">
        <v>72528000000</v>
      </c>
      <c r="AD128" s="5">
        <v>437920000000</v>
      </c>
      <c r="AE128" s="5">
        <v>130940000000</v>
      </c>
      <c r="AF128" s="5">
        <v>702570000000</v>
      </c>
      <c r="AG128" s="5">
        <v>205990000000</v>
      </c>
      <c r="AH128" s="5">
        <v>550750000000</v>
      </c>
      <c r="AI128" s="5">
        <v>126670000000</v>
      </c>
      <c r="AJ128" s="5">
        <v>511640000000</v>
      </c>
      <c r="AK128" s="5">
        <v>108320000000</v>
      </c>
      <c r="AL128" s="5">
        <v>473650000000</v>
      </c>
      <c r="AM128" s="5">
        <v>97999000000</v>
      </c>
      <c r="AN128" s="5">
        <v>398790000000</v>
      </c>
      <c r="AO128" s="5">
        <v>92599000000</v>
      </c>
      <c r="AP128" s="5">
        <v>362280000000</v>
      </c>
      <c r="AQ128" s="5">
        <v>75862000000</v>
      </c>
      <c r="AR128" s="5">
        <v>225950000000</v>
      </c>
      <c r="AS128" s="5">
        <v>67311000000</v>
      </c>
      <c r="AT128" s="5">
        <v>151760000000</v>
      </c>
      <c r="AU128" s="5">
        <v>39565000000</v>
      </c>
      <c r="AV128" s="5">
        <v>137580000000</v>
      </c>
      <c r="AW128" s="5">
        <v>40242000000</v>
      </c>
      <c r="AX128" s="5">
        <v>47162000000</v>
      </c>
      <c r="AY128" s="5">
        <v>13946000000</v>
      </c>
      <c r="AZ128" s="5">
        <v>14949000000</v>
      </c>
      <c r="BA128" s="5">
        <v>5139300000</v>
      </c>
      <c r="BB128" s="5">
        <v>7372200000</v>
      </c>
      <c r="BC128" s="5">
        <v>5294000000</v>
      </c>
      <c r="BD128" s="5">
        <v>21426000000</v>
      </c>
      <c r="BE128" s="5">
        <v>7621100000</v>
      </c>
      <c r="BF128" s="5">
        <v>5094800000</v>
      </c>
      <c r="BG128" s="5">
        <v>2748100000</v>
      </c>
      <c r="BH128" s="5">
        <v>2000600000</v>
      </c>
      <c r="BI128" s="5">
        <v>1515500000</v>
      </c>
      <c r="BJ128" s="5">
        <v>605170000</v>
      </c>
      <c r="BK128" s="5">
        <v>605170000</v>
      </c>
      <c r="BL128" s="5">
        <v>1295900000</v>
      </c>
      <c r="BM128" s="5">
        <v>1295900000</v>
      </c>
      <c r="BN128" s="5">
        <v>400670000</v>
      </c>
      <c r="BO128" s="5">
        <v>400670000</v>
      </c>
      <c r="BP128" s="5">
        <v>86089000</v>
      </c>
      <c r="BQ128" s="5">
        <v>86089000</v>
      </c>
      <c r="BR128" s="5">
        <v>627350000</v>
      </c>
      <c r="BS128" s="5">
        <v>627350000</v>
      </c>
      <c r="BT128" s="5">
        <v>0</v>
      </c>
      <c r="BU128" s="5">
        <v>0</v>
      </c>
      <c r="BV128" s="5">
        <v>0</v>
      </c>
      <c r="BW128" s="5">
        <v>0</v>
      </c>
      <c r="BX128" s="5">
        <v>0</v>
      </c>
      <c r="BY128" s="5">
        <v>0</v>
      </c>
      <c r="BZ128" s="5">
        <v>0</v>
      </c>
      <c r="CA128" s="5">
        <v>0</v>
      </c>
      <c r="CB128" s="5">
        <v>0</v>
      </c>
      <c r="CC128" s="5">
        <v>0</v>
      </c>
      <c r="CD128" s="5">
        <v>0</v>
      </c>
      <c r="CE128" s="5">
        <v>0</v>
      </c>
      <c r="CF128" s="5">
        <v>0</v>
      </c>
      <c r="CG128" s="5">
        <v>0</v>
      </c>
      <c r="CH128" s="5">
        <v>0</v>
      </c>
      <c r="CI128" s="5">
        <v>0</v>
      </c>
      <c r="CJ128" s="5">
        <v>0</v>
      </c>
      <c r="CK128" s="5">
        <v>0</v>
      </c>
      <c r="CL128" s="5">
        <v>0</v>
      </c>
      <c r="CM128" s="5">
        <v>0</v>
      </c>
      <c r="CN128" s="5">
        <v>0</v>
      </c>
      <c r="CO128" s="5">
        <v>0</v>
      </c>
      <c r="CP128" s="5">
        <v>0</v>
      </c>
      <c r="CQ128" s="5">
        <v>0</v>
      </c>
      <c r="CR128" s="5">
        <v>0</v>
      </c>
      <c r="CS128" s="5">
        <v>0</v>
      </c>
      <c r="CT128" s="5">
        <v>0</v>
      </c>
      <c r="CU128" s="5">
        <v>0</v>
      </c>
      <c r="CV128" s="5">
        <v>0</v>
      </c>
      <c r="CW128" s="5">
        <v>0</v>
      </c>
      <c r="CX128" s="5">
        <v>0</v>
      </c>
      <c r="CY128" s="5">
        <v>0</v>
      </c>
      <c r="CZ128" s="5">
        <v>0</v>
      </c>
      <c r="DA128" s="5">
        <v>0</v>
      </c>
      <c r="DB128" s="5">
        <v>0</v>
      </c>
      <c r="DC128" s="5">
        <v>0</v>
      </c>
      <c r="DD128" s="5">
        <v>0</v>
      </c>
      <c r="DE128" s="5">
        <v>0</v>
      </c>
      <c r="DF128" s="5">
        <v>0</v>
      </c>
      <c r="DG128" s="5">
        <v>0</v>
      </c>
      <c r="DH128" s="5">
        <v>0</v>
      </c>
      <c r="DI128" s="5">
        <v>0</v>
      </c>
      <c r="DJ128" s="5">
        <v>0</v>
      </c>
      <c r="DK128" s="5">
        <v>0</v>
      </c>
      <c r="DL128" s="5">
        <v>0</v>
      </c>
      <c r="DM128" s="5">
        <v>0</v>
      </c>
      <c r="DN128" s="5">
        <v>0</v>
      </c>
      <c r="DO128" s="5">
        <v>0</v>
      </c>
      <c r="DP128" s="5">
        <v>0</v>
      </c>
      <c r="DQ128" s="5">
        <v>0</v>
      </c>
      <c r="DR128" s="5">
        <v>0</v>
      </c>
      <c r="DS128" s="5">
        <v>0</v>
      </c>
      <c r="DT128" s="5">
        <v>0</v>
      </c>
      <c r="DU128" s="5">
        <v>0</v>
      </c>
      <c r="DV128" s="5">
        <v>0</v>
      </c>
      <c r="DW128" s="5">
        <v>0</v>
      </c>
      <c r="DX128" s="5">
        <v>0</v>
      </c>
      <c r="DY128" s="5">
        <v>0</v>
      </c>
      <c r="DZ128" s="5">
        <v>0</v>
      </c>
      <c r="EA128" s="5">
        <v>0</v>
      </c>
      <c r="EB128" s="5">
        <v>0</v>
      </c>
      <c r="EC128" s="5">
        <v>0</v>
      </c>
      <c r="ED128" s="5">
        <v>0</v>
      </c>
      <c r="EE128" s="5">
        <v>0</v>
      </c>
      <c r="EF128" s="5">
        <v>0</v>
      </c>
      <c r="EG128" s="5">
        <v>0</v>
      </c>
      <c r="EH128" s="5">
        <v>0</v>
      </c>
      <c r="EI128" s="5">
        <v>0</v>
      </c>
      <c r="EJ128" s="5">
        <v>0</v>
      </c>
      <c r="EK128" s="5">
        <v>0</v>
      </c>
      <c r="EL128" s="5">
        <v>0</v>
      </c>
      <c r="EM128" s="5">
        <v>0</v>
      </c>
      <c r="EN128" s="5">
        <v>0</v>
      </c>
      <c r="EO128" s="5">
        <v>0</v>
      </c>
      <c r="EP128" s="5">
        <v>0</v>
      </c>
      <c r="EQ128" s="5">
        <v>0</v>
      </c>
    </row>
    <row r="129" spans="1:147">
      <c r="A129" s="5"/>
      <c r="B129" s="5"/>
      <c r="C129" s="5"/>
      <c r="D129" s="5"/>
      <c r="E129" s="5">
        <v>0</v>
      </c>
      <c r="F129" s="5">
        <v>0</v>
      </c>
      <c r="G129" s="5">
        <v>0</v>
      </c>
      <c r="H129" s="5">
        <v>76867000000</v>
      </c>
      <c r="I129" s="5">
        <v>76867000000</v>
      </c>
      <c r="J129" s="5">
        <v>0</v>
      </c>
      <c r="K129" s="5">
        <v>0</v>
      </c>
      <c r="L129" s="5">
        <v>0</v>
      </c>
      <c r="M129" s="5">
        <v>0</v>
      </c>
      <c r="N129" s="5">
        <v>77785000000</v>
      </c>
      <c r="O129" s="5">
        <v>55002000000</v>
      </c>
      <c r="P129" s="5">
        <v>228760000000</v>
      </c>
      <c r="Q129" s="5">
        <v>182730000000</v>
      </c>
      <c r="R129" s="5">
        <v>48579000000</v>
      </c>
      <c r="S129" s="5">
        <v>34350000000</v>
      </c>
      <c r="T129" s="5">
        <v>164290000000</v>
      </c>
      <c r="U129" s="5">
        <v>77333000000</v>
      </c>
      <c r="V129" s="5">
        <v>180170000000</v>
      </c>
      <c r="W129" s="5">
        <v>70358000000</v>
      </c>
      <c r="X129" s="5">
        <v>188750000000</v>
      </c>
      <c r="Y129" s="5">
        <v>109120000000</v>
      </c>
      <c r="Z129" s="5">
        <v>159690000000</v>
      </c>
      <c r="AA129" s="5">
        <v>65696000000</v>
      </c>
      <c r="AB129" s="5">
        <v>185290000000</v>
      </c>
      <c r="AC129" s="5">
        <v>65387000000</v>
      </c>
      <c r="AD129" s="5">
        <v>141290000000</v>
      </c>
      <c r="AE129" s="5">
        <v>57535000000</v>
      </c>
      <c r="AF129" s="5">
        <v>237790000000</v>
      </c>
      <c r="AG129" s="5">
        <v>62919000000</v>
      </c>
      <c r="AH129" s="5">
        <v>479820000000</v>
      </c>
      <c r="AI129" s="5">
        <v>247870000000</v>
      </c>
      <c r="AJ129" s="5">
        <v>161770000000</v>
      </c>
      <c r="AK129" s="5">
        <v>47722000000</v>
      </c>
      <c r="AL129" s="5">
        <v>194590000000</v>
      </c>
      <c r="AM129" s="5">
        <v>47129000000</v>
      </c>
      <c r="AN129" s="5">
        <v>162650000000</v>
      </c>
      <c r="AO129" s="5">
        <v>43931000000</v>
      </c>
      <c r="AP129" s="5">
        <v>143150000000</v>
      </c>
      <c r="AQ129" s="5">
        <v>37448000000</v>
      </c>
      <c r="AR129" s="5">
        <v>79887000000</v>
      </c>
      <c r="AS129" s="5">
        <v>31587000000</v>
      </c>
      <c r="AT129" s="5">
        <v>56864000000</v>
      </c>
      <c r="AU129" s="5">
        <v>15308000000</v>
      </c>
      <c r="AV129" s="5">
        <v>35451000000</v>
      </c>
      <c r="AW129" s="5">
        <v>13989000000</v>
      </c>
      <c r="AX129" s="5">
        <v>5914900000</v>
      </c>
      <c r="AY129" s="5">
        <v>2404400000</v>
      </c>
      <c r="AZ129" s="5">
        <v>16705000000</v>
      </c>
      <c r="BA129" s="5">
        <v>5633100000</v>
      </c>
      <c r="BB129" s="5">
        <v>8675300000</v>
      </c>
      <c r="BC129" s="5">
        <v>3999300000</v>
      </c>
      <c r="BD129" s="5">
        <v>8042700000</v>
      </c>
      <c r="BE129" s="5">
        <v>3661900000</v>
      </c>
      <c r="BF129" s="5">
        <v>1092200000</v>
      </c>
      <c r="BG129" s="5">
        <v>883500000</v>
      </c>
      <c r="BH129" s="5">
        <v>1242700000</v>
      </c>
      <c r="BI129" s="5">
        <v>1242700000</v>
      </c>
      <c r="BJ129" s="5">
        <v>1408000000</v>
      </c>
      <c r="BK129" s="5">
        <v>1263800000</v>
      </c>
      <c r="BL129" s="5">
        <v>499930000</v>
      </c>
      <c r="BM129" s="5">
        <v>499930000</v>
      </c>
      <c r="BN129" s="5">
        <v>0</v>
      </c>
      <c r="BO129" s="5">
        <v>0</v>
      </c>
      <c r="BP129" s="5">
        <v>0</v>
      </c>
      <c r="BQ129" s="5">
        <v>0</v>
      </c>
      <c r="BR129" s="5">
        <v>0</v>
      </c>
      <c r="BS129" s="5">
        <v>0</v>
      </c>
      <c r="BT129" s="5">
        <v>0</v>
      </c>
      <c r="BU129" s="5">
        <v>0</v>
      </c>
      <c r="BV129" s="5">
        <v>0</v>
      </c>
      <c r="BW129" s="5">
        <v>0</v>
      </c>
      <c r="BX129" s="5">
        <v>0</v>
      </c>
      <c r="BY129" s="5">
        <v>0</v>
      </c>
      <c r="BZ129" s="5">
        <v>0</v>
      </c>
      <c r="CA129" s="5">
        <v>0</v>
      </c>
      <c r="CB129" s="5">
        <v>0</v>
      </c>
      <c r="CC129" s="5">
        <v>0</v>
      </c>
      <c r="CD129" s="5">
        <v>0</v>
      </c>
      <c r="CE129" s="5">
        <v>0</v>
      </c>
      <c r="CF129" s="5">
        <v>0</v>
      </c>
      <c r="CG129" s="5">
        <v>0</v>
      </c>
      <c r="CH129" s="5">
        <v>0</v>
      </c>
      <c r="CI129" s="5">
        <v>0</v>
      </c>
      <c r="CJ129" s="5">
        <v>0</v>
      </c>
      <c r="CK129" s="5">
        <v>0</v>
      </c>
      <c r="CL129" s="5">
        <v>0</v>
      </c>
      <c r="CM129" s="5">
        <v>0</v>
      </c>
      <c r="CN129" s="5">
        <v>0</v>
      </c>
      <c r="CO129" s="5">
        <v>0</v>
      </c>
      <c r="CP129" s="5">
        <v>0</v>
      </c>
      <c r="CQ129" s="5">
        <v>0</v>
      </c>
      <c r="CR129" s="5">
        <v>0</v>
      </c>
      <c r="CS129" s="5">
        <v>0</v>
      </c>
      <c r="CT129" s="5">
        <v>0</v>
      </c>
      <c r="CU129" s="5">
        <v>0</v>
      </c>
      <c r="CV129" s="5">
        <v>0</v>
      </c>
      <c r="CW129" s="5">
        <v>0</v>
      </c>
      <c r="CX129" s="5">
        <v>0</v>
      </c>
      <c r="CY129" s="5">
        <v>0</v>
      </c>
      <c r="CZ129" s="5">
        <v>0</v>
      </c>
      <c r="DA129" s="5">
        <v>0</v>
      </c>
      <c r="DB129" s="5">
        <v>0</v>
      </c>
      <c r="DC129" s="5">
        <v>0</v>
      </c>
      <c r="DD129" s="5">
        <v>0</v>
      </c>
      <c r="DE129" s="5">
        <v>0</v>
      </c>
      <c r="DF129" s="5">
        <v>0</v>
      </c>
      <c r="DG129" s="5">
        <v>0</v>
      </c>
      <c r="DH129" s="5">
        <v>0</v>
      </c>
      <c r="DI129" s="5">
        <v>0</v>
      </c>
      <c r="DJ129" s="5">
        <v>0</v>
      </c>
      <c r="DK129" s="5">
        <v>0</v>
      </c>
      <c r="DL129" s="5">
        <v>0</v>
      </c>
      <c r="DM129" s="5">
        <v>0</v>
      </c>
      <c r="DN129" s="5">
        <v>0</v>
      </c>
      <c r="DO129" s="5">
        <v>0</v>
      </c>
      <c r="DP129" s="5">
        <v>0</v>
      </c>
      <c r="DQ129" s="5">
        <v>0</v>
      </c>
      <c r="DR129" s="5">
        <v>0</v>
      </c>
      <c r="DS129" s="5">
        <v>0</v>
      </c>
      <c r="DT129" s="5">
        <v>0</v>
      </c>
      <c r="DU129" s="5">
        <v>0</v>
      </c>
      <c r="DV129" s="5">
        <v>0</v>
      </c>
      <c r="DW129" s="5">
        <v>0</v>
      </c>
      <c r="DX129" s="5">
        <v>0</v>
      </c>
      <c r="DY129" s="5">
        <v>0</v>
      </c>
      <c r="DZ129" s="5">
        <v>0</v>
      </c>
      <c r="EA129" s="5">
        <v>0</v>
      </c>
      <c r="EB129" s="5">
        <v>0</v>
      </c>
      <c r="EC129" s="5">
        <v>0</v>
      </c>
      <c r="ED129" s="5">
        <v>0</v>
      </c>
      <c r="EE129" s="5">
        <v>0</v>
      </c>
      <c r="EF129" s="5">
        <v>0</v>
      </c>
      <c r="EG129" s="5">
        <v>0</v>
      </c>
      <c r="EH129" s="5">
        <v>0</v>
      </c>
      <c r="EI129" s="5">
        <v>0</v>
      </c>
      <c r="EJ129" s="5">
        <v>0</v>
      </c>
      <c r="EK129" s="5">
        <v>0</v>
      </c>
      <c r="EL129" s="5">
        <v>0</v>
      </c>
      <c r="EM129" s="5">
        <v>0</v>
      </c>
      <c r="EN129" s="5">
        <v>0</v>
      </c>
      <c r="EO129" s="5">
        <v>0</v>
      </c>
      <c r="EP129" s="5">
        <v>0</v>
      </c>
      <c r="EQ129" s="5">
        <v>0</v>
      </c>
    </row>
    <row r="130" spans="1:147">
      <c r="A130" s="5"/>
      <c r="B130" s="5"/>
      <c r="C130" s="5"/>
      <c r="D130" s="5"/>
      <c r="E130" s="5">
        <v>0</v>
      </c>
      <c r="F130" s="5">
        <v>0</v>
      </c>
      <c r="G130" s="5">
        <v>0</v>
      </c>
      <c r="H130" s="5">
        <v>209420000000</v>
      </c>
      <c r="I130" s="5">
        <v>209420000000</v>
      </c>
      <c r="J130" s="5">
        <v>0</v>
      </c>
      <c r="K130" s="5">
        <v>0</v>
      </c>
      <c r="L130" s="5">
        <v>0</v>
      </c>
      <c r="M130" s="5">
        <v>0</v>
      </c>
      <c r="N130" s="5">
        <v>34288000000</v>
      </c>
      <c r="O130" s="5">
        <v>34288000000</v>
      </c>
      <c r="P130" s="5">
        <v>27262000000</v>
      </c>
      <c r="Q130" s="5">
        <v>27262000000</v>
      </c>
      <c r="R130" s="5">
        <v>124960000000</v>
      </c>
      <c r="S130" s="5">
        <v>80877000000</v>
      </c>
      <c r="T130" s="5">
        <v>67305000000</v>
      </c>
      <c r="U130" s="5">
        <v>52976000000</v>
      </c>
      <c r="V130" s="5">
        <v>253920000000</v>
      </c>
      <c r="W130" s="5">
        <v>120230000000</v>
      </c>
      <c r="X130" s="5">
        <v>84839000000</v>
      </c>
      <c r="Y130" s="5">
        <v>41911000000</v>
      </c>
      <c r="Z130" s="5">
        <v>52007000000</v>
      </c>
      <c r="AA130" s="5">
        <v>32020000000</v>
      </c>
      <c r="AB130" s="5">
        <v>99836000000</v>
      </c>
      <c r="AC130" s="5">
        <v>49948000000</v>
      </c>
      <c r="AD130" s="5">
        <v>91788000000</v>
      </c>
      <c r="AE130" s="5">
        <v>36128000000</v>
      </c>
      <c r="AF130" s="5">
        <v>81444000000</v>
      </c>
      <c r="AG130" s="5">
        <v>35713000000</v>
      </c>
      <c r="AH130" s="5">
        <v>65185000000</v>
      </c>
      <c r="AI130" s="5">
        <v>25715000000</v>
      </c>
      <c r="AJ130" s="5">
        <v>48807000000</v>
      </c>
      <c r="AK130" s="5">
        <v>20836000000</v>
      </c>
      <c r="AL130" s="5">
        <v>49458000000</v>
      </c>
      <c r="AM130" s="5">
        <v>16059000000</v>
      </c>
      <c r="AN130" s="5">
        <v>79600000000</v>
      </c>
      <c r="AO130" s="5">
        <v>35104000000</v>
      </c>
      <c r="AP130" s="5">
        <v>54291000000</v>
      </c>
      <c r="AQ130" s="5">
        <v>18182000000</v>
      </c>
      <c r="AR130" s="5">
        <v>55675000000</v>
      </c>
      <c r="AS130" s="5">
        <v>20082000000</v>
      </c>
      <c r="AT130" s="5">
        <v>34856000000</v>
      </c>
      <c r="AU130" s="5">
        <v>14284000000</v>
      </c>
      <c r="AV130" s="5">
        <v>10876000000</v>
      </c>
      <c r="AW130" s="5">
        <v>4339500000</v>
      </c>
      <c r="AX130" s="5">
        <v>12158000000</v>
      </c>
      <c r="AY130" s="5">
        <v>6195500000</v>
      </c>
      <c r="AZ130" s="5">
        <v>3879800000</v>
      </c>
      <c r="BA130" s="5">
        <v>1699800000</v>
      </c>
      <c r="BB130" s="5">
        <v>2735700000</v>
      </c>
      <c r="BC130" s="5">
        <v>1890600000</v>
      </c>
      <c r="BD130" s="5">
        <v>1981600000</v>
      </c>
      <c r="BE130" s="5">
        <v>1487200000</v>
      </c>
      <c r="BF130" s="5">
        <v>2321300000</v>
      </c>
      <c r="BG130" s="5">
        <v>1713600000</v>
      </c>
      <c r="BH130" s="5">
        <v>171920000</v>
      </c>
      <c r="BI130" s="5">
        <v>171920000</v>
      </c>
      <c r="BJ130" s="5">
        <v>975570000</v>
      </c>
      <c r="BK130" s="5">
        <v>844750000</v>
      </c>
      <c r="BL130" s="5">
        <v>0</v>
      </c>
      <c r="BM130" s="5">
        <v>0</v>
      </c>
      <c r="BN130" s="5">
        <v>86309000</v>
      </c>
      <c r="BO130" s="5">
        <v>86309000</v>
      </c>
      <c r="BP130" s="5">
        <v>0</v>
      </c>
      <c r="BQ130" s="5">
        <v>0</v>
      </c>
      <c r="BR130" s="5">
        <v>0</v>
      </c>
      <c r="BS130" s="5">
        <v>0</v>
      </c>
      <c r="BT130" s="5">
        <v>0</v>
      </c>
      <c r="BU130" s="5">
        <v>0</v>
      </c>
      <c r="BV130" s="5">
        <v>0</v>
      </c>
      <c r="BW130" s="5">
        <v>0</v>
      </c>
      <c r="BX130" s="5">
        <v>0</v>
      </c>
      <c r="BY130" s="5">
        <v>0</v>
      </c>
      <c r="BZ130" s="5">
        <v>0</v>
      </c>
      <c r="CA130" s="5">
        <v>0</v>
      </c>
      <c r="CB130" s="5">
        <v>0</v>
      </c>
      <c r="CC130" s="5">
        <v>0</v>
      </c>
      <c r="CD130" s="5">
        <v>0</v>
      </c>
      <c r="CE130" s="5">
        <v>0</v>
      </c>
      <c r="CF130" s="5">
        <v>0</v>
      </c>
      <c r="CG130" s="5">
        <v>0</v>
      </c>
      <c r="CH130" s="5">
        <v>0</v>
      </c>
      <c r="CI130" s="5">
        <v>0</v>
      </c>
      <c r="CJ130" s="5">
        <v>0</v>
      </c>
      <c r="CK130" s="5">
        <v>0</v>
      </c>
      <c r="CL130" s="5">
        <v>0</v>
      </c>
      <c r="CM130" s="5">
        <v>0</v>
      </c>
      <c r="CN130" s="5">
        <v>0</v>
      </c>
      <c r="CO130" s="5">
        <v>0</v>
      </c>
      <c r="CP130" s="5">
        <v>0</v>
      </c>
      <c r="CQ130" s="5">
        <v>0</v>
      </c>
      <c r="CR130" s="5">
        <v>0</v>
      </c>
      <c r="CS130" s="5">
        <v>0</v>
      </c>
      <c r="CT130" s="5">
        <v>0</v>
      </c>
      <c r="CU130" s="5">
        <v>0</v>
      </c>
      <c r="CV130" s="5">
        <v>0</v>
      </c>
      <c r="CW130" s="5">
        <v>0</v>
      </c>
      <c r="CX130" s="5">
        <v>0</v>
      </c>
      <c r="CY130" s="5">
        <v>0</v>
      </c>
      <c r="CZ130" s="5">
        <v>0</v>
      </c>
      <c r="DA130" s="5">
        <v>0</v>
      </c>
      <c r="DB130" s="5">
        <v>0</v>
      </c>
      <c r="DC130" s="5">
        <v>0</v>
      </c>
      <c r="DD130" s="5">
        <v>0</v>
      </c>
      <c r="DE130" s="5">
        <v>0</v>
      </c>
      <c r="DF130" s="5">
        <v>0</v>
      </c>
      <c r="DG130" s="5">
        <v>0</v>
      </c>
      <c r="DH130" s="5">
        <v>0</v>
      </c>
      <c r="DI130" s="5">
        <v>0</v>
      </c>
      <c r="DJ130" s="5">
        <v>0</v>
      </c>
      <c r="DK130" s="5">
        <v>0</v>
      </c>
      <c r="DL130" s="5">
        <v>0</v>
      </c>
      <c r="DM130" s="5">
        <v>0</v>
      </c>
      <c r="DN130" s="5">
        <v>0</v>
      </c>
      <c r="DO130" s="5">
        <v>0</v>
      </c>
      <c r="DP130" s="5">
        <v>0</v>
      </c>
      <c r="DQ130" s="5">
        <v>0</v>
      </c>
      <c r="DR130" s="5">
        <v>0</v>
      </c>
      <c r="DS130" s="5">
        <v>0</v>
      </c>
      <c r="DT130" s="5">
        <v>0</v>
      </c>
      <c r="DU130" s="5">
        <v>0</v>
      </c>
      <c r="DV130" s="5">
        <v>0</v>
      </c>
      <c r="DW130" s="5">
        <v>0</v>
      </c>
      <c r="DX130" s="5">
        <v>0</v>
      </c>
      <c r="DY130" s="5">
        <v>0</v>
      </c>
      <c r="DZ130" s="5">
        <v>0</v>
      </c>
      <c r="EA130" s="5">
        <v>0</v>
      </c>
      <c r="EB130" s="5">
        <v>0</v>
      </c>
      <c r="EC130" s="5">
        <v>0</v>
      </c>
      <c r="ED130" s="5">
        <v>0</v>
      </c>
      <c r="EE130" s="5">
        <v>0</v>
      </c>
      <c r="EF130" s="5">
        <v>0</v>
      </c>
      <c r="EG130" s="5">
        <v>0</v>
      </c>
      <c r="EH130" s="5">
        <v>0</v>
      </c>
      <c r="EI130" s="5">
        <v>0</v>
      </c>
      <c r="EJ130" s="5">
        <v>0</v>
      </c>
      <c r="EK130" s="5">
        <v>0</v>
      </c>
      <c r="EL130" s="5">
        <v>0</v>
      </c>
      <c r="EM130" s="5">
        <v>0</v>
      </c>
      <c r="EN130" s="5">
        <v>0</v>
      </c>
      <c r="EO130" s="5">
        <v>0</v>
      </c>
      <c r="EP130" s="5">
        <v>0</v>
      </c>
      <c r="EQ130" s="5">
        <v>0</v>
      </c>
    </row>
    <row r="131" spans="1:147">
      <c r="A131" s="5"/>
      <c r="B131" s="5"/>
      <c r="C131" s="5"/>
      <c r="D131" s="5"/>
      <c r="E131" s="5">
        <v>0</v>
      </c>
      <c r="F131" s="5">
        <v>0</v>
      </c>
      <c r="G131" s="5">
        <v>0</v>
      </c>
      <c r="H131" s="5">
        <v>60956000000</v>
      </c>
      <c r="I131" s="5">
        <v>60956000000</v>
      </c>
      <c r="J131" s="5">
        <v>0</v>
      </c>
      <c r="K131" s="5">
        <v>0</v>
      </c>
      <c r="L131" s="5">
        <v>0</v>
      </c>
      <c r="M131" s="5">
        <v>0</v>
      </c>
      <c r="N131" s="5">
        <v>117100000000</v>
      </c>
      <c r="O131" s="5">
        <v>117100000000</v>
      </c>
      <c r="P131" s="5">
        <v>0</v>
      </c>
      <c r="Q131" s="5">
        <v>0</v>
      </c>
      <c r="R131" s="5">
        <v>0</v>
      </c>
      <c r="S131" s="5">
        <v>0</v>
      </c>
      <c r="T131" s="5">
        <v>89741000000</v>
      </c>
      <c r="U131" s="5">
        <v>89741000000</v>
      </c>
      <c r="V131" s="5">
        <v>12185000000</v>
      </c>
      <c r="W131" s="5">
        <v>12185000000</v>
      </c>
      <c r="X131" s="5">
        <v>20464000000</v>
      </c>
      <c r="Y131" s="5">
        <v>14486000000</v>
      </c>
      <c r="Z131" s="5">
        <v>38693000000</v>
      </c>
      <c r="AA131" s="5">
        <v>38693000000</v>
      </c>
      <c r="AB131" s="5">
        <v>12198000000</v>
      </c>
      <c r="AC131" s="5">
        <v>8625000000</v>
      </c>
      <c r="AD131" s="5">
        <v>155490000000</v>
      </c>
      <c r="AE131" s="5">
        <v>71322000000</v>
      </c>
      <c r="AF131" s="5">
        <v>62343000000</v>
      </c>
      <c r="AG131" s="5">
        <v>39132000000</v>
      </c>
      <c r="AH131" s="5">
        <v>36330000000</v>
      </c>
      <c r="AI131" s="5">
        <v>16588000000</v>
      </c>
      <c r="AJ131" s="5">
        <v>25393000000</v>
      </c>
      <c r="AK131" s="5">
        <v>17077000000</v>
      </c>
      <c r="AL131" s="5">
        <v>53636000000</v>
      </c>
      <c r="AM131" s="5">
        <v>19395000000</v>
      </c>
      <c r="AN131" s="5">
        <v>38551000000</v>
      </c>
      <c r="AO131" s="5">
        <v>17895000000</v>
      </c>
      <c r="AP131" s="5">
        <v>24120000000</v>
      </c>
      <c r="AQ131" s="5">
        <v>12082000000</v>
      </c>
      <c r="AR131" s="5">
        <v>19036000000</v>
      </c>
      <c r="AS131" s="5">
        <v>9986100000</v>
      </c>
      <c r="AT131" s="5">
        <v>26448000000</v>
      </c>
      <c r="AU131" s="5">
        <v>10214000000</v>
      </c>
      <c r="AV131" s="5">
        <v>9686700000</v>
      </c>
      <c r="AW131" s="5">
        <v>4805600000</v>
      </c>
      <c r="AX131" s="5">
        <v>7450000000</v>
      </c>
      <c r="AY131" s="5">
        <v>4952000000</v>
      </c>
      <c r="AZ131" s="5">
        <v>385210000</v>
      </c>
      <c r="BA131" s="5">
        <v>385210000</v>
      </c>
      <c r="BB131" s="5">
        <v>306280000</v>
      </c>
      <c r="BC131" s="5">
        <v>306280000</v>
      </c>
      <c r="BD131" s="5">
        <v>386440000</v>
      </c>
      <c r="BE131" s="5">
        <v>386440000</v>
      </c>
      <c r="BF131" s="5">
        <v>386620000</v>
      </c>
      <c r="BG131" s="5">
        <v>386620000</v>
      </c>
      <c r="BH131" s="5">
        <v>153390000</v>
      </c>
      <c r="BI131" s="5">
        <v>153390000</v>
      </c>
      <c r="BJ131" s="5">
        <v>193470000</v>
      </c>
      <c r="BK131" s="5">
        <v>193470000</v>
      </c>
      <c r="BL131" s="5">
        <v>0</v>
      </c>
      <c r="BM131" s="5">
        <v>0</v>
      </c>
      <c r="BN131" s="5">
        <v>0</v>
      </c>
      <c r="BO131" s="5">
        <v>0</v>
      </c>
      <c r="BP131" s="5">
        <v>0</v>
      </c>
      <c r="BQ131" s="5">
        <v>0</v>
      </c>
      <c r="BR131" s="5">
        <v>0</v>
      </c>
      <c r="BS131" s="5">
        <v>0</v>
      </c>
      <c r="BT131" s="5">
        <v>0</v>
      </c>
      <c r="BU131" s="5">
        <v>0</v>
      </c>
      <c r="BV131" s="5">
        <v>0</v>
      </c>
      <c r="BW131" s="5">
        <v>0</v>
      </c>
      <c r="BX131" s="5">
        <v>0</v>
      </c>
      <c r="BY131" s="5">
        <v>0</v>
      </c>
      <c r="BZ131" s="5">
        <v>0</v>
      </c>
      <c r="CA131" s="5">
        <v>0</v>
      </c>
      <c r="CB131" s="5">
        <v>0</v>
      </c>
      <c r="CC131" s="5">
        <v>0</v>
      </c>
      <c r="CD131" s="5">
        <v>0</v>
      </c>
      <c r="CE131" s="5">
        <v>0</v>
      </c>
      <c r="CF131" s="5">
        <v>0</v>
      </c>
      <c r="CG131" s="5">
        <v>0</v>
      </c>
      <c r="CH131" s="5">
        <v>0</v>
      </c>
      <c r="CI131" s="5">
        <v>0</v>
      </c>
      <c r="CJ131" s="5">
        <v>0</v>
      </c>
      <c r="CK131" s="5">
        <v>0</v>
      </c>
      <c r="CL131" s="5">
        <v>0</v>
      </c>
      <c r="CM131" s="5">
        <v>0</v>
      </c>
      <c r="CN131" s="5">
        <v>0</v>
      </c>
      <c r="CO131" s="5">
        <v>0</v>
      </c>
      <c r="CP131" s="5">
        <v>0</v>
      </c>
      <c r="CQ131" s="5">
        <v>0</v>
      </c>
      <c r="CR131" s="5">
        <v>0</v>
      </c>
      <c r="CS131" s="5">
        <v>0</v>
      </c>
      <c r="CT131" s="5">
        <v>0</v>
      </c>
      <c r="CU131" s="5">
        <v>0</v>
      </c>
      <c r="CV131" s="5">
        <v>0</v>
      </c>
      <c r="CW131" s="5">
        <v>0</v>
      </c>
      <c r="CX131" s="5">
        <v>0</v>
      </c>
      <c r="CY131" s="5">
        <v>0</v>
      </c>
      <c r="CZ131" s="5">
        <v>0</v>
      </c>
      <c r="DA131" s="5">
        <v>0</v>
      </c>
      <c r="DB131" s="5">
        <v>0</v>
      </c>
      <c r="DC131" s="5">
        <v>0</v>
      </c>
      <c r="DD131" s="5">
        <v>0</v>
      </c>
      <c r="DE131" s="5">
        <v>0</v>
      </c>
      <c r="DF131" s="5">
        <v>0</v>
      </c>
      <c r="DG131" s="5">
        <v>0</v>
      </c>
      <c r="DH131" s="5">
        <v>0</v>
      </c>
      <c r="DI131" s="5">
        <v>0</v>
      </c>
      <c r="DJ131" s="5">
        <v>0</v>
      </c>
      <c r="DK131" s="5">
        <v>0</v>
      </c>
      <c r="DL131" s="5">
        <v>0</v>
      </c>
      <c r="DM131" s="5">
        <v>0</v>
      </c>
      <c r="DN131" s="5">
        <v>0</v>
      </c>
      <c r="DO131" s="5">
        <v>0</v>
      </c>
      <c r="DP131" s="5">
        <v>0</v>
      </c>
      <c r="DQ131" s="5">
        <v>0</v>
      </c>
      <c r="DR131" s="5">
        <v>0</v>
      </c>
      <c r="DS131" s="5">
        <v>0</v>
      </c>
      <c r="DT131" s="5">
        <v>0</v>
      </c>
      <c r="DU131" s="5">
        <v>0</v>
      </c>
      <c r="DV131" s="5">
        <v>0</v>
      </c>
      <c r="DW131" s="5">
        <v>0</v>
      </c>
      <c r="DX131" s="5">
        <v>0</v>
      </c>
      <c r="DY131" s="5">
        <v>0</v>
      </c>
      <c r="DZ131" s="5">
        <v>0</v>
      </c>
      <c r="EA131" s="5">
        <v>0</v>
      </c>
      <c r="EB131" s="5">
        <v>0</v>
      </c>
      <c r="EC131" s="5">
        <v>0</v>
      </c>
      <c r="ED131" s="5">
        <v>0</v>
      </c>
      <c r="EE131" s="5">
        <v>0</v>
      </c>
      <c r="EF131" s="5">
        <v>0</v>
      </c>
      <c r="EG131" s="5">
        <v>0</v>
      </c>
      <c r="EH131" s="5">
        <v>0</v>
      </c>
      <c r="EI131" s="5">
        <v>0</v>
      </c>
      <c r="EJ131" s="5">
        <v>0</v>
      </c>
      <c r="EK131" s="5">
        <v>0</v>
      </c>
      <c r="EL131" s="5">
        <v>0</v>
      </c>
      <c r="EM131" s="5">
        <v>0</v>
      </c>
      <c r="EN131" s="5">
        <v>0</v>
      </c>
      <c r="EO131" s="5">
        <v>0</v>
      </c>
      <c r="EP131" s="5">
        <v>0</v>
      </c>
      <c r="EQ131" s="5">
        <v>0</v>
      </c>
    </row>
    <row r="132" spans="1:147">
      <c r="A132" s="5"/>
      <c r="B132" s="5"/>
      <c r="C132" s="5"/>
      <c r="D132" s="5"/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Z132" s="5">
        <v>7248500000</v>
      </c>
      <c r="AA132" s="5">
        <v>7248500000</v>
      </c>
      <c r="AB132" s="5">
        <v>10867000000</v>
      </c>
      <c r="AC132" s="5">
        <v>7683900000</v>
      </c>
      <c r="AD132" s="5">
        <v>41957000000</v>
      </c>
      <c r="AE132" s="5">
        <v>24725000000</v>
      </c>
      <c r="AF132" s="5">
        <v>9179900000</v>
      </c>
      <c r="AG132" s="5">
        <v>6693000000</v>
      </c>
      <c r="AH132" s="5">
        <v>16271000000</v>
      </c>
      <c r="AI132" s="5">
        <v>10695000000</v>
      </c>
      <c r="AJ132" s="5">
        <v>36842000000</v>
      </c>
      <c r="AK132" s="5">
        <v>24375000000</v>
      </c>
      <c r="AL132" s="5">
        <v>5164000000</v>
      </c>
      <c r="AM132" s="5">
        <v>2981700000</v>
      </c>
      <c r="AN132" s="5">
        <v>34977000000</v>
      </c>
      <c r="AO132" s="5">
        <v>19377000000</v>
      </c>
      <c r="AP132" s="5">
        <v>6247800000</v>
      </c>
      <c r="AQ132" s="5">
        <v>3814300000</v>
      </c>
      <c r="AR132" s="5">
        <v>6483100000</v>
      </c>
      <c r="AS132" s="5">
        <v>2768900000</v>
      </c>
      <c r="AT132" s="5">
        <v>9610000000</v>
      </c>
      <c r="AU132" s="5">
        <v>6196500000</v>
      </c>
      <c r="AV132" s="5">
        <v>17854000000</v>
      </c>
      <c r="AW132" s="5">
        <v>10304000000</v>
      </c>
      <c r="AX132" s="5">
        <v>1422500000</v>
      </c>
      <c r="AY132" s="5">
        <v>1030000000</v>
      </c>
      <c r="AZ132" s="5">
        <v>4165400000</v>
      </c>
      <c r="BA132" s="5">
        <v>3513100000</v>
      </c>
      <c r="BB132" s="5">
        <v>272710000</v>
      </c>
      <c r="BC132" s="5">
        <v>272710000</v>
      </c>
      <c r="BD132" s="5">
        <v>727460000</v>
      </c>
      <c r="BE132" s="5">
        <v>554910000</v>
      </c>
      <c r="BF132" s="5">
        <v>172020000</v>
      </c>
      <c r="BG132" s="5">
        <v>172020000</v>
      </c>
      <c r="BH132" s="5">
        <v>969860000</v>
      </c>
      <c r="BI132" s="5">
        <v>969860000</v>
      </c>
      <c r="BJ132" s="5">
        <v>0</v>
      </c>
      <c r="BK132" s="5">
        <v>0</v>
      </c>
      <c r="BL132" s="5">
        <v>0</v>
      </c>
      <c r="BM132" s="5">
        <v>0</v>
      </c>
      <c r="BN132" s="5">
        <v>0</v>
      </c>
      <c r="BO132" s="5">
        <v>0</v>
      </c>
      <c r="BP132" s="5">
        <v>0</v>
      </c>
      <c r="BQ132" s="5">
        <v>0</v>
      </c>
      <c r="BR132" s="5">
        <v>0</v>
      </c>
      <c r="BS132" s="5">
        <v>0</v>
      </c>
      <c r="BT132" s="5">
        <v>0</v>
      </c>
      <c r="BU132" s="5">
        <v>0</v>
      </c>
      <c r="BV132" s="5">
        <v>0</v>
      </c>
      <c r="BW132" s="5">
        <v>0</v>
      </c>
      <c r="BX132" s="5">
        <v>0</v>
      </c>
      <c r="BY132" s="5">
        <v>0</v>
      </c>
      <c r="BZ132" s="5">
        <v>0</v>
      </c>
      <c r="CA132" s="5">
        <v>0</v>
      </c>
      <c r="CB132" s="5">
        <v>0</v>
      </c>
      <c r="CC132" s="5">
        <v>0</v>
      </c>
      <c r="CD132" s="5">
        <v>0</v>
      </c>
      <c r="CE132" s="5">
        <v>0</v>
      </c>
      <c r="CF132" s="5">
        <v>0</v>
      </c>
      <c r="CG132" s="5">
        <v>0</v>
      </c>
      <c r="CH132" s="5">
        <v>0</v>
      </c>
      <c r="CI132" s="5">
        <v>0</v>
      </c>
      <c r="CJ132" s="5">
        <v>0</v>
      </c>
      <c r="CK132" s="5">
        <v>0</v>
      </c>
      <c r="CL132" s="5">
        <v>0</v>
      </c>
      <c r="CM132" s="5">
        <v>0</v>
      </c>
      <c r="CN132" s="5">
        <v>0</v>
      </c>
      <c r="CO132" s="5">
        <v>0</v>
      </c>
      <c r="CP132" s="5">
        <v>0</v>
      </c>
      <c r="CQ132" s="5">
        <v>0</v>
      </c>
      <c r="CR132" s="5">
        <v>0</v>
      </c>
      <c r="CS132" s="5">
        <v>0</v>
      </c>
      <c r="CT132" s="5">
        <v>0</v>
      </c>
      <c r="CU132" s="5">
        <v>0</v>
      </c>
      <c r="CV132" s="5">
        <v>0</v>
      </c>
      <c r="CW132" s="5">
        <v>0</v>
      </c>
      <c r="CX132" s="5">
        <v>0</v>
      </c>
      <c r="CY132" s="5">
        <v>0</v>
      </c>
      <c r="CZ132" s="5">
        <v>0</v>
      </c>
      <c r="DA132" s="5">
        <v>0</v>
      </c>
      <c r="DB132" s="5">
        <v>0</v>
      </c>
      <c r="DC132" s="5">
        <v>0</v>
      </c>
      <c r="DD132" s="5">
        <v>0</v>
      </c>
      <c r="DE132" s="5">
        <v>0</v>
      </c>
      <c r="DF132" s="5">
        <v>0</v>
      </c>
      <c r="DG132" s="5">
        <v>0</v>
      </c>
      <c r="DH132" s="5">
        <v>0</v>
      </c>
      <c r="DI132" s="5">
        <v>0</v>
      </c>
      <c r="DJ132" s="5">
        <v>0</v>
      </c>
      <c r="DK132" s="5">
        <v>0</v>
      </c>
      <c r="DL132" s="5">
        <v>0</v>
      </c>
      <c r="DM132" s="5">
        <v>0</v>
      </c>
      <c r="DN132" s="5">
        <v>0</v>
      </c>
      <c r="DO132" s="5">
        <v>0</v>
      </c>
      <c r="DP132" s="5">
        <v>0</v>
      </c>
      <c r="DQ132" s="5">
        <v>0</v>
      </c>
      <c r="DR132" s="5">
        <v>0</v>
      </c>
      <c r="DS132" s="5">
        <v>0</v>
      </c>
      <c r="DT132" s="5">
        <v>0</v>
      </c>
      <c r="DU132" s="5">
        <v>0</v>
      </c>
      <c r="DV132" s="5">
        <v>0</v>
      </c>
      <c r="DW132" s="5">
        <v>0</v>
      </c>
      <c r="DX132" s="5">
        <v>0</v>
      </c>
      <c r="DY132" s="5">
        <v>0</v>
      </c>
      <c r="DZ132" s="5">
        <v>0</v>
      </c>
      <c r="EA132" s="5">
        <v>0</v>
      </c>
      <c r="EB132" s="5">
        <v>0</v>
      </c>
      <c r="EC132" s="5">
        <v>0</v>
      </c>
      <c r="ED132" s="5">
        <v>0</v>
      </c>
      <c r="EE132" s="5">
        <v>0</v>
      </c>
      <c r="EF132" s="5">
        <v>0</v>
      </c>
      <c r="EG132" s="5">
        <v>0</v>
      </c>
      <c r="EH132" s="5">
        <v>0</v>
      </c>
      <c r="EI132" s="5">
        <v>0</v>
      </c>
      <c r="EJ132" s="5">
        <v>0</v>
      </c>
      <c r="EK132" s="5">
        <v>0</v>
      </c>
      <c r="EL132" s="5">
        <v>0</v>
      </c>
      <c r="EM132" s="5">
        <v>0</v>
      </c>
      <c r="EN132" s="5">
        <v>0</v>
      </c>
      <c r="EO132" s="5">
        <v>0</v>
      </c>
      <c r="EP132" s="5">
        <v>0</v>
      </c>
      <c r="EQ132" s="5">
        <v>0</v>
      </c>
    </row>
    <row r="133" spans="1:147">
      <c r="A133" s="5"/>
      <c r="B133" s="5"/>
      <c r="C133" s="5"/>
      <c r="D133" s="5"/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0</v>
      </c>
      <c r="Q133" s="5">
        <v>0</v>
      </c>
      <c r="R133" s="5">
        <v>15332000000</v>
      </c>
      <c r="S133" s="5">
        <v>15332000000</v>
      </c>
      <c r="T133" s="5">
        <v>0</v>
      </c>
      <c r="U133" s="5">
        <v>0</v>
      </c>
      <c r="V133" s="5">
        <v>9670000000</v>
      </c>
      <c r="W133" s="5">
        <v>9670000000</v>
      </c>
      <c r="X133" s="5">
        <v>0</v>
      </c>
      <c r="Y133" s="5">
        <v>0</v>
      </c>
      <c r="Z133" s="5">
        <v>12213000000</v>
      </c>
      <c r="AA133" s="5">
        <v>8636200000</v>
      </c>
      <c r="AB133" s="5">
        <v>4853700000</v>
      </c>
      <c r="AC133" s="5">
        <v>4853700000</v>
      </c>
      <c r="AD133" s="5">
        <v>0</v>
      </c>
      <c r="AE133" s="5">
        <v>0</v>
      </c>
      <c r="AF133" s="5">
        <v>0</v>
      </c>
      <c r="AG133" s="5">
        <v>0</v>
      </c>
      <c r="AH133" s="5">
        <v>4875000000</v>
      </c>
      <c r="AI133" s="5">
        <v>3447100000</v>
      </c>
      <c r="AJ133" s="5">
        <v>1929000000</v>
      </c>
      <c r="AK133" s="5">
        <v>1929000000</v>
      </c>
      <c r="AL133" s="5">
        <v>3922600000</v>
      </c>
      <c r="AM133" s="5">
        <v>2839200000</v>
      </c>
      <c r="AN133" s="5">
        <v>0</v>
      </c>
      <c r="AO133" s="5">
        <v>0</v>
      </c>
      <c r="AP133" s="5">
        <v>967290000</v>
      </c>
      <c r="AQ133" s="5">
        <v>967290000</v>
      </c>
      <c r="AR133" s="5">
        <v>0</v>
      </c>
      <c r="AS133" s="5">
        <v>0</v>
      </c>
      <c r="AT133" s="5">
        <v>1220200000</v>
      </c>
      <c r="AU133" s="5">
        <v>862840000</v>
      </c>
      <c r="AV133" s="5">
        <v>0</v>
      </c>
      <c r="AW133" s="5">
        <v>0</v>
      </c>
      <c r="AX133" s="5">
        <v>0</v>
      </c>
      <c r="AY133" s="5">
        <v>0</v>
      </c>
      <c r="AZ133" s="5">
        <v>0</v>
      </c>
      <c r="BA133" s="5">
        <v>0</v>
      </c>
      <c r="BB133" s="5">
        <v>0</v>
      </c>
      <c r="BC133" s="5">
        <v>0</v>
      </c>
      <c r="BD133" s="5">
        <v>0</v>
      </c>
      <c r="BE133" s="5">
        <v>0</v>
      </c>
      <c r="BF133" s="5">
        <v>0</v>
      </c>
      <c r="BG133" s="5">
        <v>0</v>
      </c>
      <c r="BH133" s="5">
        <v>0</v>
      </c>
      <c r="BI133" s="5">
        <v>0</v>
      </c>
      <c r="BJ133" s="5">
        <v>0</v>
      </c>
      <c r="BK133" s="5">
        <v>0</v>
      </c>
      <c r="BL133" s="5">
        <v>0</v>
      </c>
      <c r="BM133" s="5">
        <v>0</v>
      </c>
      <c r="BN133" s="5">
        <v>0</v>
      </c>
      <c r="BO133" s="5">
        <v>0</v>
      </c>
      <c r="BP133" s="5">
        <v>0</v>
      </c>
      <c r="BQ133" s="5">
        <v>0</v>
      </c>
      <c r="BR133" s="5">
        <v>0</v>
      </c>
      <c r="BS133" s="5">
        <v>0</v>
      </c>
      <c r="BT133" s="5">
        <v>0</v>
      </c>
      <c r="BU133" s="5">
        <v>0</v>
      </c>
      <c r="BV133" s="5">
        <v>0</v>
      </c>
      <c r="BW133" s="5">
        <v>0</v>
      </c>
      <c r="BX133" s="5">
        <v>0</v>
      </c>
      <c r="BY133" s="5">
        <v>0</v>
      </c>
      <c r="BZ133" s="5">
        <v>0</v>
      </c>
      <c r="CA133" s="5">
        <v>0</v>
      </c>
      <c r="CB133" s="5">
        <v>0</v>
      </c>
      <c r="CC133" s="5">
        <v>0</v>
      </c>
      <c r="CD133" s="5">
        <v>0</v>
      </c>
      <c r="CE133" s="5">
        <v>0</v>
      </c>
      <c r="CF133" s="5">
        <v>0</v>
      </c>
      <c r="CG133" s="5">
        <v>0</v>
      </c>
      <c r="CH133" s="5">
        <v>0</v>
      </c>
      <c r="CI133" s="5">
        <v>0</v>
      </c>
      <c r="CJ133" s="5">
        <v>0</v>
      </c>
      <c r="CK133" s="5">
        <v>0</v>
      </c>
      <c r="CL133" s="5">
        <v>0</v>
      </c>
      <c r="CM133" s="5">
        <v>0</v>
      </c>
      <c r="CN133" s="5">
        <v>0</v>
      </c>
      <c r="CO133" s="5">
        <v>0</v>
      </c>
      <c r="CP133" s="5">
        <v>0</v>
      </c>
      <c r="CQ133" s="5">
        <v>0</v>
      </c>
      <c r="CR133" s="5">
        <v>0</v>
      </c>
      <c r="CS133" s="5">
        <v>0</v>
      </c>
      <c r="CT133" s="5">
        <v>0</v>
      </c>
      <c r="CU133" s="5">
        <v>0</v>
      </c>
      <c r="CV133" s="5">
        <v>0</v>
      </c>
      <c r="CW133" s="5">
        <v>0</v>
      </c>
      <c r="CX133" s="5">
        <v>0</v>
      </c>
      <c r="CY133" s="5">
        <v>0</v>
      </c>
      <c r="CZ133" s="5">
        <v>0</v>
      </c>
      <c r="DA133" s="5">
        <v>0</v>
      </c>
      <c r="DB133" s="5">
        <v>0</v>
      </c>
      <c r="DC133" s="5">
        <v>0</v>
      </c>
      <c r="DD133" s="5">
        <v>0</v>
      </c>
      <c r="DE133" s="5">
        <v>0</v>
      </c>
      <c r="DF133" s="5">
        <v>0</v>
      </c>
      <c r="DG133" s="5">
        <v>0</v>
      </c>
      <c r="DH133" s="5">
        <v>0</v>
      </c>
      <c r="DI133" s="5">
        <v>0</v>
      </c>
      <c r="DJ133" s="5">
        <v>0</v>
      </c>
      <c r="DK133" s="5">
        <v>0</v>
      </c>
      <c r="DL133" s="5">
        <v>0</v>
      </c>
      <c r="DM133" s="5">
        <v>0</v>
      </c>
      <c r="DN133" s="5">
        <v>0</v>
      </c>
      <c r="DO133" s="5">
        <v>0</v>
      </c>
      <c r="DP133" s="5">
        <v>0</v>
      </c>
      <c r="DQ133" s="5">
        <v>0</v>
      </c>
      <c r="DR133" s="5">
        <v>0</v>
      </c>
      <c r="DS133" s="5">
        <v>0</v>
      </c>
      <c r="DT133" s="5">
        <v>0</v>
      </c>
      <c r="DU133" s="5">
        <v>0</v>
      </c>
      <c r="DV133" s="5">
        <v>0</v>
      </c>
      <c r="DW133" s="5">
        <v>0</v>
      </c>
      <c r="DX133" s="5">
        <v>0</v>
      </c>
      <c r="DY133" s="5">
        <v>0</v>
      </c>
      <c r="DZ133" s="5">
        <v>0</v>
      </c>
      <c r="EA133" s="5">
        <v>0</v>
      </c>
      <c r="EB133" s="5">
        <v>0</v>
      </c>
      <c r="EC133" s="5">
        <v>0</v>
      </c>
      <c r="ED133" s="5">
        <v>0</v>
      </c>
      <c r="EE133" s="5">
        <v>0</v>
      </c>
      <c r="EF133" s="5">
        <v>0</v>
      </c>
      <c r="EG133" s="5">
        <v>0</v>
      </c>
      <c r="EH133" s="5">
        <v>0</v>
      </c>
      <c r="EI133" s="5">
        <v>0</v>
      </c>
      <c r="EJ133" s="5">
        <v>0</v>
      </c>
      <c r="EK133" s="5">
        <v>0</v>
      </c>
      <c r="EL133" s="5">
        <v>0</v>
      </c>
      <c r="EM133" s="5">
        <v>0</v>
      </c>
      <c r="EN133" s="5">
        <v>0</v>
      </c>
      <c r="EO133" s="5">
        <v>0</v>
      </c>
      <c r="EP133" s="5">
        <v>0</v>
      </c>
      <c r="EQ133" s="5">
        <v>0</v>
      </c>
    </row>
    <row r="134" spans="1:147">
      <c r="A134" s="5"/>
      <c r="B134" s="5"/>
      <c r="C134" s="5"/>
      <c r="D134" s="5"/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 s="5">
        <v>0</v>
      </c>
      <c r="O134" s="5">
        <v>0</v>
      </c>
      <c r="P134" s="5">
        <v>0</v>
      </c>
      <c r="Q134" s="5">
        <v>0</v>
      </c>
      <c r="R134" s="5">
        <v>0</v>
      </c>
      <c r="S134" s="5">
        <v>0</v>
      </c>
      <c r="T134" s="5">
        <v>10844000000</v>
      </c>
      <c r="U134" s="5">
        <v>10844000000</v>
      </c>
      <c r="V134" s="5">
        <v>0</v>
      </c>
      <c r="W134" s="5">
        <v>0</v>
      </c>
      <c r="X134" s="5">
        <v>0</v>
      </c>
      <c r="Y134" s="5">
        <v>0</v>
      </c>
      <c r="Z134" s="5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0</v>
      </c>
      <c r="AF134" s="5">
        <v>2723900000</v>
      </c>
      <c r="AG134" s="5">
        <v>2723900000</v>
      </c>
      <c r="AH134" s="5">
        <v>2171800000</v>
      </c>
      <c r="AI134" s="5">
        <v>2171800000</v>
      </c>
      <c r="AJ134" s="5">
        <v>1719400000</v>
      </c>
      <c r="AK134" s="5">
        <v>1719400000</v>
      </c>
      <c r="AL134" s="5">
        <v>2494500000</v>
      </c>
      <c r="AM134" s="5">
        <v>2494500000</v>
      </c>
      <c r="AN134" s="5">
        <v>6199900000</v>
      </c>
      <c r="AO134" s="5">
        <v>3240100000</v>
      </c>
      <c r="AP134" s="5">
        <v>864370000</v>
      </c>
      <c r="AQ134" s="5">
        <v>864370000</v>
      </c>
      <c r="AR134" s="5">
        <v>2020800000</v>
      </c>
      <c r="AS134" s="5">
        <v>1501200000</v>
      </c>
      <c r="AT134" s="5">
        <v>0</v>
      </c>
      <c r="AU134" s="5">
        <v>0</v>
      </c>
      <c r="AV134" s="5">
        <v>0</v>
      </c>
      <c r="AW134" s="5">
        <v>0</v>
      </c>
      <c r="AX134" s="5">
        <v>0</v>
      </c>
      <c r="AY134" s="5">
        <v>0</v>
      </c>
      <c r="AZ134" s="5">
        <v>545700000</v>
      </c>
      <c r="BA134" s="5">
        <v>385870000</v>
      </c>
      <c r="BB134" s="5">
        <v>0</v>
      </c>
      <c r="BC134" s="5">
        <v>0</v>
      </c>
      <c r="BD134" s="5">
        <v>0</v>
      </c>
      <c r="BE134" s="5">
        <v>0</v>
      </c>
      <c r="BF134" s="5">
        <v>0</v>
      </c>
      <c r="BG134" s="5">
        <v>0</v>
      </c>
      <c r="BH134" s="5">
        <v>0</v>
      </c>
      <c r="BI134" s="5">
        <v>0</v>
      </c>
      <c r="BJ134" s="5">
        <v>0</v>
      </c>
      <c r="BK134" s="5">
        <v>0</v>
      </c>
      <c r="BL134" s="5">
        <v>0</v>
      </c>
      <c r="BM134" s="5">
        <v>0</v>
      </c>
      <c r="BN134" s="5">
        <v>0</v>
      </c>
      <c r="BO134" s="5">
        <v>0</v>
      </c>
      <c r="BP134" s="5">
        <v>0</v>
      </c>
      <c r="BQ134" s="5">
        <v>0</v>
      </c>
      <c r="BR134" s="5">
        <v>0</v>
      </c>
      <c r="BS134" s="5">
        <v>0</v>
      </c>
      <c r="BT134" s="5">
        <v>0</v>
      </c>
      <c r="BU134" s="5">
        <v>0</v>
      </c>
      <c r="BV134" s="5">
        <v>0</v>
      </c>
      <c r="BW134" s="5">
        <v>0</v>
      </c>
      <c r="BX134" s="5">
        <v>0</v>
      </c>
      <c r="BY134" s="5">
        <v>0</v>
      </c>
      <c r="BZ134" s="5">
        <v>0</v>
      </c>
      <c r="CA134" s="5">
        <v>0</v>
      </c>
      <c r="CB134" s="5">
        <v>0</v>
      </c>
      <c r="CC134" s="5">
        <v>0</v>
      </c>
      <c r="CD134" s="5">
        <v>0</v>
      </c>
      <c r="CE134" s="5">
        <v>0</v>
      </c>
      <c r="CF134" s="5">
        <v>0</v>
      </c>
      <c r="CG134" s="5">
        <v>0</v>
      </c>
      <c r="CH134" s="5">
        <v>0</v>
      </c>
      <c r="CI134" s="5">
        <v>0</v>
      </c>
      <c r="CJ134" s="5">
        <v>0</v>
      </c>
      <c r="CK134" s="5">
        <v>0</v>
      </c>
      <c r="CL134" s="5">
        <v>0</v>
      </c>
      <c r="CM134" s="5">
        <v>0</v>
      </c>
      <c r="CN134" s="5">
        <v>0</v>
      </c>
      <c r="CO134" s="5">
        <v>0</v>
      </c>
      <c r="CP134" s="5">
        <v>0</v>
      </c>
      <c r="CQ134" s="5">
        <v>0</v>
      </c>
      <c r="CR134" s="5">
        <v>0</v>
      </c>
      <c r="CS134" s="5">
        <v>0</v>
      </c>
      <c r="CT134" s="5">
        <v>0</v>
      </c>
      <c r="CU134" s="5">
        <v>0</v>
      </c>
      <c r="CV134" s="5">
        <v>0</v>
      </c>
      <c r="CW134" s="5">
        <v>0</v>
      </c>
      <c r="CX134" s="5">
        <v>0</v>
      </c>
      <c r="CY134" s="5">
        <v>0</v>
      </c>
      <c r="CZ134" s="5">
        <v>0</v>
      </c>
      <c r="DA134" s="5">
        <v>0</v>
      </c>
      <c r="DB134" s="5">
        <v>0</v>
      </c>
      <c r="DC134" s="5">
        <v>0</v>
      </c>
      <c r="DD134" s="5">
        <v>0</v>
      </c>
      <c r="DE134" s="5">
        <v>0</v>
      </c>
      <c r="DF134" s="5">
        <v>0</v>
      </c>
      <c r="DG134" s="5">
        <v>0</v>
      </c>
      <c r="DH134" s="5">
        <v>0</v>
      </c>
      <c r="DI134" s="5">
        <v>0</v>
      </c>
      <c r="DJ134" s="5">
        <v>0</v>
      </c>
      <c r="DK134" s="5">
        <v>0</v>
      </c>
      <c r="DL134" s="5">
        <v>0</v>
      </c>
      <c r="DM134" s="5">
        <v>0</v>
      </c>
      <c r="DN134" s="5">
        <v>0</v>
      </c>
      <c r="DO134" s="5">
        <v>0</v>
      </c>
      <c r="DP134" s="5">
        <v>0</v>
      </c>
      <c r="DQ134" s="5">
        <v>0</v>
      </c>
      <c r="DR134" s="5">
        <v>0</v>
      </c>
      <c r="DS134" s="5">
        <v>0</v>
      </c>
      <c r="DT134" s="5">
        <v>0</v>
      </c>
      <c r="DU134" s="5">
        <v>0</v>
      </c>
      <c r="DV134" s="5">
        <v>0</v>
      </c>
      <c r="DW134" s="5">
        <v>0</v>
      </c>
      <c r="DX134" s="5">
        <v>0</v>
      </c>
      <c r="DY134" s="5">
        <v>0</v>
      </c>
      <c r="DZ134" s="5">
        <v>0</v>
      </c>
      <c r="EA134" s="5">
        <v>0</v>
      </c>
      <c r="EB134" s="5">
        <v>0</v>
      </c>
      <c r="EC134" s="5">
        <v>0</v>
      </c>
      <c r="ED134" s="5">
        <v>0</v>
      </c>
      <c r="EE134" s="5">
        <v>0</v>
      </c>
      <c r="EF134" s="5">
        <v>0</v>
      </c>
      <c r="EG134" s="5">
        <v>0</v>
      </c>
      <c r="EH134" s="5">
        <v>0</v>
      </c>
      <c r="EI134" s="5">
        <v>0</v>
      </c>
      <c r="EJ134" s="5">
        <v>0</v>
      </c>
      <c r="EK134" s="5">
        <v>0</v>
      </c>
      <c r="EL134" s="5">
        <v>0</v>
      </c>
      <c r="EM134" s="5">
        <v>0</v>
      </c>
      <c r="EN134" s="5">
        <v>0</v>
      </c>
      <c r="EO134" s="5">
        <v>0</v>
      </c>
      <c r="EP134" s="5">
        <v>0</v>
      </c>
      <c r="EQ134" s="5">
        <v>0</v>
      </c>
    </row>
    <row r="135" spans="1:147">
      <c r="A135" s="5"/>
      <c r="B135" s="5"/>
      <c r="C135" s="5"/>
      <c r="D135" s="5"/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 s="5">
        <v>0</v>
      </c>
      <c r="O135" s="5">
        <v>0</v>
      </c>
      <c r="P135" s="5">
        <v>0</v>
      </c>
      <c r="Q135" s="5">
        <v>0</v>
      </c>
      <c r="R135" s="5">
        <v>0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Z135" s="5">
        <v>0</v>
      </c>
      <c r="AA135" s="5">
        <v>0</v>
      </c>
      <c r="AB135" s="5">
        <v>0</v>
      </c>
      <c r="AC135" s="5">
        <v>0</v>
      </c>
      <c r="AD135" s="5">
        <v>0</v>
      </c>
      <c r="AE135" s="5">
        <v>0</v>
      </c>
      <c r="AF135" s="5">
        <v>0</v>
      </c>
      <c r="AG135" s="5">
        <v>0</v>
      </c>
      <c r="AH135" s="5">
        <v>0</v>
      </c>
      <c r="AI135" s="5">
        <v>0</v>
      </c>
      <c r="AJ135" s="5">
        <v>0</v>
      </c>
      <c r="AK135" s="5">
        <v>0</v>
      </c>
      <c r="AL135" s="5">
        <v>1645100000</v>
      </c>
      <c r="AM135" s="5">
        <v>1645100000</v>
      </c>
      <c r="AN135" s="5">
        <v>1373300000</v>
      </c>
      <c r="AO135" s="5">
        <v>1373300000</v>
      </c>
      <c r="AP135" s="5">
        <v>767520000</v>
      </c>
      <c r="AQ135" s="5">
        <v>767520000</v>
      </c>
      <c r="AR135" s="5">
        <v>0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 s="5">
        <v>305970000</v>
      </c>
      <c r="AY135" s="5">
        <v>305970000</v>
      </c>
      <c r="AZ135" s="5">
        <v>0</v>
      </c>
      <c r="BA135" s="5">
        <v>0</v>
      </c>
      <c r="BB135" s="5">
        <v>0</v>
      </c>
      <c r="BC135" s="5">
        <v>0</v>
      </c>
      <c r="BD135" s="5">
        <v>0</v>
      </c>
      <c r="BE135" s="5">
        <v>0</v>
      </c>
      <c r="BF135" s="5">
        <v>0</v>
      </c>
      <c r="BG135" s="5">
        <v>0</v>
      </c>
      <c r="BH135" s="5">
        <v>0</v>
      </c>
      <c r="BI135" s="5">
        <v>0</v>
      </c>
      <c r="BJ135" s="5">
        <v>0</v>
      </c>
      <c r="BK135" s="5">
        <v>0</v>
      </c>
      <c r="BL135" s="5">
        <v>0</v>
      </c>
      <c r="BM135" s="5">
        <v>0</v>
      </c>
      <c r="BN135" s="5">
        <v>0</v>
      </c>
      <c r="BO135" s="5">
        <v>0</v>
      </c>
      <c r="BP135" s="5">
        <v>0</v>
      </c>
      <c r="BQ135" s="5">
        <v>0</v>
      </c>
      <c r="BR135" s="5">
        <v>0</v>
      </c>
      <c r="BS135" s="5">
        <v>0</v>
      </c>
      <c r="BT135" s="5">
        <v>0</v>
      </c>
      <c r="BU135" s="5">
        <v>0</v>
      </c>
      <c r="BV135" s="5">
        <v>0</v>
      </c>
      <c r="BW135" s="5">
        <v>0</v>
      </c>
      <c r="BX135" s="5">
        <v>0</v>
      </c>
      <c r="BY135" s="5">
        <v>0</v>
      </c>
      <c r="BZ135" s="5">
        <v>0</v>
      </c>
      <c r="CA135" s="5">
        <v>0</v>
      </c>
      <c r="CB135" s="5">
        <v>0</v>
      </c>
      <c r="CC135" s="5">
        <v>0</v>
      </c>
      <c r="CD135" s="5">
        <v>0</v>
      </c>
      <c r="CE135" s="5">
        <v>0</v>
      </c>
      <c r="CF135" s="5">
        <v>0</v>
      </c>
      <c r="CG135" s="5">
        <v>0</v>
      </c>
      <c r="CH135" s="5">
        <v>0</v>
      </c>
      <c r="CI135" s="5">
        <v>0</v>
      </c>
      <c r="CJ135" s="5">
        <v>0</v>
      </c>
      <c r="CK135" s="5">
        <v>0</v>
      </c>
      <c r="CL135" s="5">
        <v>0</v>
      </c>
      <c r="CM135" s="5">
        <v>0</v>
      </c>
      <c r="CN135" s="5">
        <v>0</v>
      </c>
      <c r="CO135" s="5">
        <v>0</v>
      </c>
      <c r="CP135" s="5">
        <v>0</v>
      </c>
      <c r="CQ135" s="5">
        <v>0</v>
      </c>
      <c r="CR135" s="5">
        <v>0</v>
      </c>
      <c r="CS135" s="5">
        <v>0</v>
      </c>
      <c r="CT135" s="5">
        <v>0</v>
      </c>
      <c r="CU135" s="5">
        <v>0</v>
      </c>
      <c r="CV135" s="5">
        <v>0</v>
      </c>
      <c r="CW135" s="5">
        <v>0</v>
      </c>
      <c r="CX135" s="5">
        <v>0</v>
      </c>
      <c r="CY135" s="5">
        <v>0</v>
      </c>
      <c r="CZ135" s="5">
        <v>0</v>
      </c>
      <c r="DA135" s="5">
        <v>0</v>
      </c>
      <c r="DB135" s="5">
        <v>0</v>
      </c>
      <c r="DC135" s="5">
        <v>0</v>
      </c>
      <c r="DD135" s="5">
        <v>0</v>
      </c>
      <c r="DE135" s="5">
        <v>0</v>
      </c>
      <c r="DF135" s="5">
        <v>0</v>
      </c>
      <c r="DG135" s="5">
        <v>0</v>
      </c>
      <c r="DH135" s="5">
        <v>0</v>
      </c>
      <c r="DI135" s="5">
        <v>0</v>
      </c>
      <c r="DJ135" s="5">
        <v>0</v>
      </c>
      <c r="DK135" s="5">
        <v>0</v>
      </c>
      <c r="DL135" s="5">
        <v>0</v>
      </c>
      <c r="DM135" s="5">
        <v>0</v>
      </c>
      <c r="DN135" s="5">
        <v>0</v>
      </c>
      <c r="DO135" s="5">
        <v>0</v>
      </c>
      <c r="DP135" s="5">
        <v>0</v>
      </c>
      <c r="DQ135" s="5">
        <v>0</v>
      </c>
      <c r="DR135" s="5">
        <v>0</v>
      </c>
      <c r="DS135" s="5">
        <v>0</v>
      </c>
      <c r="DT135" s="5">
        <v>0</v>
      </c>
      <c r="DU135" s="5">
        <v>0</v>
      </c>
      <c r="DV135" s="5">
        <v>0</v>
      </c>
      <c r="DW135" s="5">
        <v>0</v>
      </c>
      <c r="DX135" s="5">
        <v>0</v>
      </c>
      <c r="DY135" s="5">
        <v>0</v>
      </c>
      <c r="DZ135" s="5">
        <v>0</v>
      </c>
      <c r="EA135" s="5">
        <v>0</v>
      </c>
      <c r="EB135" s="5">
        <v>0</v>
      </c>
      <c r="EC135" s="5">
        <v>0</v>
      </c>
      <c r="ED135" s="5">
        <v>0</v>
      </c>
      <c r="EE135" s="5">
        <v>0</v>
      </c>
      <c r="EF135" s="5">
        <v>0</v>
      </c>
      <c r="EG135" s="5">
        <v>0</v>
      </c>
      <c r="EH135" s="5">
        <v>0</v>
      </c>
      <c r="EI135" s="5">
        <v>0</v>
      </c>
      <c r="EJ135" s="5">
        <v>0</v>
      </c>
      <c r="EK135" s="5">
        <v>0</v>
      </c>
      <c r="EL135" s="5">
        <v>0</v>
      </c>
      <c r="EM135" s="5">
        <v>0</v>
      </c>
      <c r="EN135" s="5">
        <v>0</v>
      </c>
      <c r="EO135" s="5">
        <v>0</v>
      </c>
      <c r="EP135" s="5">
        <v>0</v>
      </c>
      <c r="EQ135" s="5">
        <v>0</v>
      </c>
    </row>
    <row r="136" spans="1:147">
      <c r="A136" s="5"/>
      <c r="B136" s="5"/>
      <c r="C136" s="5"/>
      <c r="D136" s="5"/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 s="5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Z136" s="5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0</v>
      </c>
      <c r="AF136" s="5">
        <v>0</v>
      </c>
      <c r="AG136" s="5">
        <v>0</v>
      </c>
      <c r="AH136" s="5">
        <v>0</v>
      </c>
      <c r="AI136" s="5">
        <v>0</v>
      </c>
      <c r="AJ136" s="5">
        <v>0</v>
      </c>
      <c r="AK136" s="5">
        <v>0</v>
      </c>
      <c r="AL136" s="5">
        <v>0</v>
      </c>
      <c r="AM136" s="5">
        <v>0</v>
      </c>
      <c r="AN136" s="5">
        <v>0</v>
      </c>
      <c r="AO136" s="5">
        <v>0</v>
      </c>
      <c r="AP136" s="5">
        <v>0</v>
      </c>
      <c r="AQ136" s="5">
        <v>0</v>
      </c>
      <c r="AR136" s="5">
        <v>0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 s="5">
        <v>0</v>
      </c>
      <c r="AY136" s="5">
        <v>0</v>
      </c>
      <c r="AZ136" s="5">
        <v>0</v>
      </c>
      <c r="BA136" s="5">
        <v>0</v>
      </c>
      <c r="BB136" s="5">
        <v>0</v>
      </c>
      <c r="BC136" s="5">
        <v>0</v>
      </c>
      <c r="BD136" s="5">
        <v>0</v>
      </c>
      <c r="BE136" s="5">
        <v>0</v>
      </c>
      <c r="BF136" s="5">
        <v>0</v>
      </c>
      <c r="BG136" s="5">
        <v>0</v>
      </c>
      <c r="BH136" s="5">
        <v>0</v>
      </c>
      <c r="BI136" s="5">
        <v>0</v>
      </c>
      <c r="BJ136" s="5">
        <v>0</v>
      </c>
      <c r="BK136" s="5">
        <v>0</v>
      </c>
      <c r="BL136" s="5">
        <v>0</v>
      </c>
      <c r="BM136" s="5">
        <v>0</v>
      </c>
      <c r="BN136" s="5">
        <v>0</v>
      </c>
      <c r="BO136" s="5">
        <v>0</v>
      </c>
      <c r="BP136" s="5">
        <v>0</v>
      </c>
      <c r="BQ136" s="5">
        <v>0</v>
      </c>
      <c r="BR136" s="5">
        <v>0</v>
      </c>
      <c r="BS136" s="5">
        <v>0</v>
      </c>
      <c r="BT136" s="5">
        <v>0</v>
      </c>
      <c r="BU136" s="5">
        <v>0</v>
      </c>
      <c r="BV136" s="5">
        <v>0</v>
      </c>
      <c r="BW136" s="5">
        <v>0</v>
      </c>
      <c r="BX136" s="5">
        <v>0</v>
      </c>
      <c r="BY136" s="5">
        <v>0</v>
      </c>
      <c r="BZ136" s="5">
        <v>0</v>
      </c>
      <c r="CA136" s="5">
        <v>0</v>
      </c>
      <c r="CB136" s="5">
        <v>0</v>
      </c>
      <c r="CC136" s="5">
        <v>0</v>
      </c>
      <c r="CD136" s="5">
        <v>0</v>
      </c>
      <c r="CE136" s="5">
        <v>0</v>
      </c>
      <c r="CF136" s="5">
        <v>0</v>
      </c>
      <c r="CG136" s="5">
        <v>0</v>
      </c>
      <c r="CH136" s="5">
        <v>0</v>
      </c>
      <c r="CI136" s="5">
        <v>0</v>
      </c>
      <c r="CJ136" s="5">
        <v>0</v>
      </c>
      <c r="CK136" s="5">
        <v>0</v>
      </c>
      <c r="CL136" s="5">
        <v>0</v>
      </c>
      <c r="CM136" s="5">
        <v>0</v>
      </c>
      <c r="CN136" s="5">
        <v>0</v>
      </c>
      <c r="CO136" s="5">
        <v>0</v>
      </c>
      <c r="CP136" s="5">
        <v>0</v>
      </c>
      <c r="CQ136" s="5">
        <v>0</v>
      </c>
      <c r="CR136" s="5">
        <v>0</v>
      </c>
      <c r="CS136" s="5">
        <v>0</v>
      </c>
      <c r="CT136" s="5">
        <v>0</v>
      </c>
      <c r="CU136" s="5">
        <v>0</v>
      </c>
      <c r="CV136" s="5">
        <v>0</v>
      </c>
      <c r="CW136" s="5">
        <v>0</v>
      </c>
      <c r="CX136" s="5">
        <v>0</v>
      </c>
      <c r="CY136" s="5">
        <v>0</v>
      </c>
      <c r="CZ136" s="5">
        <v>0</v>
      </c>
      <c r="DA136" s="5">
        <v>0</v>
      </c>
      <c r="DB136" s="5">
        <v>0</v>
      </c>
      <c r="DC136" s="5">
        <v>0</v>
      </c>
      <c r="DD136" s="5">
        <v>0</v>
      </c>
      <c r="DE136" s="5">
        <v>0</v>
      </c>
      <c r="DF136" s="5">
        <v>0</v>
      </c>
      <c r="DG136" s="5">
        <v>0</v>
      </c>
      <c r="DH136" s="5">
        <v>0</v>
      </c>
      <c r="DI136" s="5">
        <v>0</v>
      </c>
      <c r="DJ136" s="5">
        <v>0</v>
      </c>
      <c r="DK136" s="5">
        <v>0</v>
      </c>
      <c r="DL136" s="5">
        <v>0</v>
      </c>
      <c r="DM136" s="5">
        <v>0</v>
      </c>
      <c r="DN136" s="5">
        <v>0</v>
      </c>
      <c r="DO136" s="5">
        <v>0</v>
      </c>
      <c r="DP136" s="5">
        <v>0</v>
      </c>
      <c r="DQ136" s="5">
        <v>0</v>
      </c>
      <c r="DR136" s="5">
        <v>0</v>
      </c>
      <c r="DS136" s="5">
        <v>0</v>
      </c>
      <c r="DT136" s="5">
        <v>0</v>
      </c>
      <c r="DU136" s="5">
        <v>0</v>
      </c>
      <c r="DV136" s="5">
        <v>0</v>
      </c>
      <c r="DW136" s="5">
        <v>0</v>
      </c>
      <c r="DX136" s="5">
        <v>0</v>
      </c>
      <c r="DY136" s="5">
        <v>0</v>
      </c>
      <c r="DZ136" s="5">
        <v>0</v>
      </c>
      <c r="EA136" s="5">
        <v>0</v>
      </c>
      <c r="EB136" s="5">
        <v>0</v>
      </c>
      <c r="EC136" s="5">
        <v>0</v>
      </c>
      <c r="ED136" s="5">
        <v>0</v>
      </c>
      <c r="EE136" s="5">
        <v>0</v>
      </c>
      <c r="EF136" s="5">
        <v>0</v>
      </c>
      <c r="EG136" s="5">
        <v>0</v>
      </c>
      <c r="EH136" s="5">
        <v>0</v>
      </c>
      <c r="EI136" s="5">
        <v>0</v>
      </c>
      <c r="EJ136" s="5">
        <v>0</v>
      </c>
      <c r="EK136" s="5">
        <v>0</v>
      </c>
      <c r="EL136" s="5">
        <v>0</v>
      </c>
      <c r="EM136" s="5">
        <v>0</v>
      </c>
      <c r="EN136" s="5">
        <v>0</v>
      </c>
      <c r="EO136" s="5">
        <v>0</v>
      </c>
      <c r="EP136" s="5">
        <v>0</v>
      </c>
      <c r="EQ136" s="5">
        <v>0</v>
      </c>
    </row>
    <row r="137" spans="1:147">
      <c r="A137" s="5"/>
      <c r="B137" s="5"/>
      <c r="C137" s="5"/>
      <c r="D137" s="5"/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Z137" s="5">
        <v>0</v>
      </c>
      <c r="AA137" s="5">
        <v>0</v>
      </c>
      <c r="AB137" s="5">
        <v>0</v>
      </c>
      <c r="AC137" s="5">
        <v>0</v>
      </c>
      <c r="AD137" s="5">
        <v>0</v>
      </c>
      <c r="AE137" s="5">
        <v>0</v>
      </c>
      <c r="AF137" s="5">
        <v>0</v>
      </c>
      <c r="AG137" s="5">
        <v>0</v>
      </c>
      <c r="AH137" s="5">
        <v>0</v>
      </c>
      <c r="AI137" s="5">
        <v>0</v>
      </c>
      <c r="AJ137" s="5">
        <v>0</v>
      </c>
      <c r="AK137" s="5">
        <v>0</v>
      </c>
      <c r="AL137" s="5">
        <v>0</v>
      </c>
      <c r="AM137" s="5">
        <v>0</v>
      </c>
      <c r="AN137" s="5">
        <v>0</v>
      </c>
      <c r="AO137" s="5">
        <v>0</v>
      </c>
      <c r="AP137" s="5">
        <v>0</v>
      </c>
      <c r="AQ137" s="5">
        <v>0</v>
      </c>
      <c r="AR137" s="5">
        <v>0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 s="5">
        <v>0</v>
      </c>
      <c r="AY137" s="5">
        <v>0</v>
      </c>
      <c r="AZ137" s="5">
        <v>0</v>
      </c>
      <c r="BA137" s="5">
        <v>0</v>
      </c>
      <c r="BB137" s="5">
        <v>0</v>
      </c>
      <c r="BC137" s="5">
        <v>0</v>
      </c>
      <c r="BD137" s="5">
        <v>0</v>
      </c>
      <c r="BE137" s="5">
        <v>0</v>
      </c>
      <c r="BF137" s="5">
        <v>0</v>
      </c>
      <c r="BG137" s="5">
        <v>0</v>
      </c>
      <c r="BH137" s="5">
        <v>0</v>
      </c>
      <c r="BI137" s="5">
        <v>0</v>
      </c>
      <c r="BJ137" s="5">
        <v>0</v>
      </c>
      <c r="BK137" s="5">
        <v>0</v>
      </c>
      <c r="BL137" s="5">
        <v>0</v>
      </c>
      <c r="BM137" s="5">
        <v>0</v>
      </c>
      <c r="BN137" s="5">
        <v>0</v>
      </c>
      <c r="BO137" s="5">
        <v>0</v>
      </c>
      <c r="BP137" s="5">
        <v>0</v>
      </c>
      <c r="BQ137" s="5">
        <v>0</v>
      </c>
      <c r="BR137" s="5">
        <v>0</v>
      </c>
      <c r="BS137" s="5">
        <v>0</v>
      </c>
      <c r="BT137" s="5">
        <v>0</v>
      </c>
      <c r="BU137" s="5">
        <v>0</v>
      </c>
      <c r="BV137" s="5">
        <v>0</v>
      </c>
      <c r="BW137" s="5">
        <v>0</v>
      </c>
      <c r="BX137" s="5">
        <v>0</v>
      </c>
      <c r="BY137" s="5">
        <v>0</v>
      </c>
      <c r="BZ137" s="5">
        <v>0</v>
      </c>
      <c r="CA137" s="5">
        <v>0</v>
      </c>
      <c r="CB137" s="5">
        <v>0</v>
      </c>
      <c r="CC137" s="5">
        <v>0</v>
      </c>
      <c r="CD137" s="5">
        <v>0</v>
      </c>
      <c r="CE137" s="5">
        <v>0</v>
      </c>
      <c r="CF137" s="5">
        <v>0</v>
      </c>
      <c r="CG137" s="5">
        <v>0</v>
      </c>
      <c r="CH137" s="5">
        <v>0</v>
      </c>
      <c r="CI137" s="5">
        <v>0</v>
      </c>
      <c r="CJ137" s="5">
        <v>0</v>
      </c>
      <c r="CK137" s="5">
        <v>0</v>
      </c>
      <c r="CL137" s="5">
        <v>0</v>
      </c>
      <c r="CM137" s="5">
        <v>0</v>
      </c>
      <c r="CN137" s="5">
        <v>0</v>
      </c>
      <c r="CO137" s="5">
        <v>0</v>
      </c>
      <c r="CP137" s="5">
        <v>0</v>
      </c>
      <c r="CQ137" s="5">
        <v>0</v>
      </c>
      <c r="CR137" s="5">
        <v>0</v>
      </c>
      <c r="CS137" s="5">
        <v>0</v>
      </c>
      <c r="CT137" s="5">
        <v>0</v>
      </c>
      <c r="CU137" s="5">
        <v>0</v>
      </c>
      <c r="CV137" s="5">
        <v>0</v>
      </c>
      <c r="CW137" s="5">
        <v>0</v>
      </c>
      <c r="CX137" s="5">
        <v>0</v>
      </c>
      <c r="CY137" s="5">
        <v>0</v>
      </c>
      <c r="CZ137" s="5">
        <v>0</v>
      </c>
      <c r="DA137" s="5">
        <v>0</v>
      </c>
      <c r="DB137" s="5">
        <v>0</v>
      </c>
      <c r="DC137" s="5">
        <v>0</v>
      </c>
      <c r="DD137" s="5">
        <v>0</v>
      </c>
      <c r="DE137" s="5">
        <v>0</v>
      </c>
      <c r="DF137" s="5">
        <v>0</v>
      </c>
      <c r="DG137" s="5">
        <v>0</v>
      </c>
      <c r="DH137" s="5">
        <v>0</v>
      </c>
      <c r="DI137" s="5">
        <v>0</v>
      </c>
      <c r="DJ137" s="5">
        <v>0</v>
      </c>
      <c r="DK137" s="5">
        <v>0</v>
      </c>
      <c r="DL137" s="5">
        <v>0</v>
      </c>
      <c r="DM137" s="5">
        <v>0</v>
      </c>
      <c r="DN137" s="5">
        <v>0</v>
      </c>
      <c r="DO137" s="5">
        <v>0</v>
      </c>
      <c r="DP137" s="5">
        <v>0</v>
      </c>
      <c r="DQ137" s="5">
        <v>0</v>
      </c>
      <c r="DR137" s="5">
        <v>0</v>
      </c>
      <c r="DS137" s="5">
        <v>0</v>
      </c>
      <c r="DT137" s="5">
        <v>0</v>
      </c>
      <c r="DU137" s="5">
        <v>0</v>
      </c>
      <c r="DV137" s="5">
        <v>0</v>
      </c>
      <c r="DW137" s="5">
        <v>0</v>
      </c>
      <c r="DX137" s="5">
        <v>0</v>
      </c>
      <c r="DY137" s="5">
        <v>0</v>
      </c>
      <c r="DZ137" s="5">
        <v>0</v>
      </c>
      <c r="EA137" s="5">
        <v>0</v>
      </c>
      <c r="EB137" s="5">
        <v>0</v>
      </c>
      <c r="EC137" s="5">
        <v>0</v>
      </c>
      <c r="ED137" s="5">
        <v>0</v>
      </c>
      <c r="EE137" s="5">
        <v>0</v>
      </c>
      <c r="EF137" s="5">
        <v>0</v>
      </c>
      <c r="EG137" s="5">
        <v>0</v>
      </c>
      <c r="EH137" s="5">
        <v>0</v>
      </c>
      <c r="EI137" s="5">
        <v>0</v>
      </c>
      <c r="EJ137" s="5">
        <v>0</v>
      </c>
      <c r="EK137" s="5">
        <v>0</v>
      </c>
      <c r="EL137" s="5">
        <v>0</v>
      </c>
      <c r="EM137" s="5">
        <v>0</v>
      </c>
      <c r="EN137" s="5">
        <v>0</v>
      </c>
      <c r="EO137" s="5">
        <v>0</v>
      </c>
      <c r="EP137" s="5">
        <v>0</v>
      </c>
      <c r="EQ137" s="5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</dc:creator>
  <cp:lastModifiedBy>kom</cp:lastModifiedBy>
  <dcterms:created xsi:type="dcterms:W3CDTF">2014-03-20T05:05:35Z</dcterms:created>
  <dcterms:modified xsi:type="dcterms:W3CDTF">2014-03-26T07:25:12Z</dcterms:modified>
</cp:coreProperties>
</file>